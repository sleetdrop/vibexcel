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dev-notes/candidate-chain-prototype/"/>
    </mc:Choice>
  </mc:AlternateContent>
  <xr:revisionPtr revIDLastSave="0" documentId="13_ncr:1_{17D8F55D-81B7-8E49-B10E-C640C2A8F56F}" xr6:coauthVersionLast="47" xr6:coauthVersionMax="47" xr10:uidLastSave="{00000000-0000-0000-0000-000000000000}"/>
  <bookViews>
    <workbookView xWindow="0" yWindow="7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claimRowStep,IF(OR(_xlpm.bad,_xlpm.basic&lt;&gt;"",_xlpm.rowText&lt;&gt;"",_xlpm.colText&lt;&gt;""),_xlpm.emptyStep,SDKP_ClaimingRowStep(_xlpm.c)),_xlpm.claimRowText,INDEX(_xlpm.claimRowStep,1,5),_xlpm.claimColStep,IF(OR(_xlpm.bad,_xlpm.basic&lt;&gt;"",_xlpm.rowText&lt;&gt;"",_xlpm.colText&lt;&gt;"",_xlpm.claimRowText&lt;&gt;""),_xlpm.emptyStep,SDKP_ClaimingColStep(_xlpm.c)),_xlpm.claimColText,INDEX(_xlpm.claimColStep,1,5),_xlpm.pairRowStep,IF(OR(_xlpm.bad,_xlpm.basic&lt;&gt;"",_xlpm.rowText&lt;&gt;"",_xlpm.colText&lt;&gt;"",_xlpm.claimRowText&lt;&gt;"",_xlpm.claimColText&lt;&gt;""),_xlpm.emptyStep,SDKP_NakedPairRowStep(_xlpm.c)),_xlpm.pairRowText,INDEX(_xlpm.pairRowStep,1,5),_xlpm.pairColStep,IF(OR(_xlpm.bad,_xlpm.basic&lt;&gt;"",_xlpm.rowText&lt;&gt;"",_xlpm.colText&lt;&gt;"",_xlpm.claimRowText&lt;&gt;"",_xlpm.claimColText&lt;&gt;"",_xlpm.pairRowText&lt;&gt;""),_xlpm.emptyStep,SDKP_NakedPairColStep(_xlpm.c)),_xlpm.pairColText,INDEX(_xlpm.pairColStep,1,5),_xlpm.pairBoxStep,IF(OR(_xlpm.bad,_xlpm.basic&lt;&gt;"",_xlpm.rowText&lt;&gt;"",_xlpm.colText&lt;&gt;"",_xlpm.claimRowText&lt;&gt;"",_xlpm.claimColText&lt;&gt;"",_xlpm.pairRowText&lt;&gt;"",_xlpm.pairColText&lt;&gt;""),_xlpm.emptyStep,SDKP_NakedPairBoxStep(_xlpm.c)),_xlpm.pairBoxText,INDEX(_xlpm.pairBoxStep,1,5),_xlpm.step,IF(_xlpm.rowText&lt;&gt;"",_xlpm.rowStep,IF(_xlpm.colText&lt;&gt;"",_xlpm.colStep,IF(_xlpm.claimRowText&lt;&gt;"",_xlpm.claimRowStep,IF(_xlpm.claimColText&lt;&gt;"",_xlpm.claimColStep,IF(_xlpm.pairRowText&lt;&gt;"",_xlpm.pairRowStep,IF(_xlpm.pairColText&lt;&gt;"",_xlpm.pairColStep,_xlpm.pairBoxStep)))))),_xlpm.stepText,IF(_xlpm.rowText&lt;&gt;"",_xlpm.rowText,IF(_xlpm.colText&lt;&gt;"",_xlpm.colText,IF(_xlpm.claimRowText&lt;&gt;"",_xlpm.claimRowText,IF(_xlpm.claimColText&lt;&gt;"",_xlpm.claimColText,IF(_xlpm.pairRowText&lt;&gt;"",_xlpm.pairRowText,IF(_xlpm.pairColText&lt;&gt;"",_xlpm.pairColText,_xlpm.pairBoxText)))))),_xlpm.adv,IF(OR(_xlpm.bad,_xlpm.basic&lt;&gt;""),"",_xlpm.stepText),_xlpm.state,IF(_xlpm.bad,"CONTRADICTION",IF(_xlpm.basic&lt;&gt;"","ASSIGNMENT",IF(_xlpm.adv="","STABLE",IF(_xlpm.steps&gt;=_xlpm.lim,"LIMIT","CONTINUE")))),IF(_xlpm.state="CONTINUE",_xlfn.LET(_xlpm.next,SDKP_ApplyStep(_xlpm.c,_xlpm.step),IF(SDKP_HasProgress(_xlpm.c,_xlpm.next),SDKP_ChainLoop(_xlpm.board,_xlpm.next,_xlpm.steps+1,_xlpm.lim,IF(_xlpm.log="",_xlpm.adv,_xlpm.log&amp;CHAR(10)&amp;_xlpm.adv)),_xlfn.VSTACK(_xlpm.c,_xlfn.MAKEARRAY(1,9,_xlfn.LAMBDA(_xlpm.r,_xlpm.k,CHOOSE(_xlpm.k,"NO_PROGRESS",_xlpm.steps,"",_xlpm.adv,_xlpm.log,"","","","")))))),_xlfn.VSTACK(_xlpm.c,_xlfn.MAKEARRAY(1,9,_xlfn.LAMBDA(_xlpm.r,_xlpm.k,CHOOSE(_xlpm.k,_xlpm.state,_xlpm.steps,_xlpm.basic,_xlpm.adv,_xlpm.log,"","","","")))))))</definedName>
    <definedName name="SDKP_ClaimingCol">_xlfn.LAMBDA(_xlpm.inputCandidates,INDEX(SDKP_ClaimingColStep(_xlpm.inputCandidates),1,5))</definedName>
    <definedName name="SDKP_ClaimingColStep">_xlfn.LAMBDA(_xlpm.inputCandidates,_xlfn.LET(_xlpm.c,_xlpm.inputCandidates,_xlpm.detect,_xlfn.LAMBDA(_xlpm.i,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",TRUE,"R"&amp;_xlpm.rs&amp;"C"&amp;_xlpm.k),_xlpm.b,3*(_xlpm.band-1)+1+QUOTIENT(_xlpm.k-1,3),_xlpm.displayText,"Claiming column · Column "&amp;_xlpm.k&amp;" confines digit "&amp;_xlpm.d&amp;" to box "&amp;_xlpm.b&amp;" via "&amp;_xlpm.sourceText&amp;" · Remove "&amp;_xlpm.d&amp;" from "&amp;_xlpm.txt&amp;".",IF(_xlpm.txt&lt;&gt;"",_xlfn.HSTACK("Claiming column",_xlpm.sourceText,_xlpm.d&amp;"",_xlpm.txt,_xlpm.displayText),_xlfn.HSTACK("","","","","")))),_xlpm.hits,_xlfn.MAP(_xlfn.SEQUENCE(81),_xlfn.LAMBDA(_xlpm.i,INDEX(_xlpm.detect(_xlpm.i),1,1)&lt;&gt;"")),_xlpm.p,IFERROR(_xlfn.XMATCH(TRUE,_xlpm.hits),0),IF(_xlpm.p=0,_xlfn.HSTACK("","","","",""),_xlpm.detect(_xlpm.p))))</definedName>
    <definedName name="SDKP_ClaimingRow">_xlfn.LAMBDA(_xlpm.inputCandidates,INDEX(SDKP_ClaimingRowStep(_xlpm.inputCandidates),1,5))</definedName>
    <definedName name="SDKP_ClaimingRowStep">_xlfn.LAMBDA(_xlpm.inputCandidates,_xlfn.LET(_xlpm.c,_xlpm.inputCandidates,_xlpm.detect,_xlfn.LAMBDA(_xlpm.i,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",TRUE,"R"&amp;_xlpm.r&amp;"C"&amp;_xlpm.cs),_xlpm.b,3*QUOTIENT(_xlpm.r-1,3)+_xlpm.band,_xlpm.displayText,"Claiming row · Row "&amp;_xlpm.r&amp;" confines digit "&amp;_xlpm.d&amp;" to box "&amp;_xlpm.b&amp;" via "&amp;_xlpm.sourceText&amp;" · Remove "&amp;_xlpm.d&amp;" from "&amp;_xlpm.txt&amp;".",IF(_xlpm.txt&lt;&gt;"",_xlfn.HSTACK("Claiming row",_xlpm.sourceText,_xlpm.d&amp;"",_xlpm.txt,_xlpm.displayText),_xlfn.HSTACK("","","","","")))),_xlpm.hits,_xlfn.MAP(_xlfn.SEQUENCE(81),_xlfn.LAMBDA(_xlpm.i,INDEX(_xlpm.detect(_xlpm.i),1,1)&lt;&gt;"")),_xlpm.p,IFERROR(_xlfn.XMATCH(TRUE,_xlpm.hits),0),IF(_xlpm.p=0,_xlfn.HSTACK("","","","",""),_xlpm.detect(_xlp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SDKP_ForcedConflict(_xlpm.board,_xlpm.c))))</definedName>
    <definedName name="SDKP_ForcedConflict">_xlfn.LAMBDA(_xlpm.board,_xlpm.c,_xlfn.LET(_xlpm.forced,IF((_xlpm.board="")*(LEN(_xlpm.c&amp;"")=1),_xlpm.c&amp;"",""),_xlpm.rowBad,SUM(_xlfn.MAKEARRAY(9,9,_xlfn.LAMBDA(_xlpm.r,_xlpm.d,--(SUM(--(INDEX(_xlpm.forced,_xlpm.r,0)=_xlpm.d&amp;""))&gt;1))))&gt;0,_xlpm.colBad,SUM(_xlfn.MAKEARRAY(9,9,_xlfn.LAMBDA(_xlpm.k,_xlpm.d,--(SUM(--(INDEX(_xlpm.forced,0,_xlpm.k)=_xlpm.d&amp;""))&gt;1))))&gt;0,_xlpm.boxBad,SUM(_xlfn.MAKEARRAY(9,9,_xlfn.LAMBDA(_xlpm.b,_xlpm.d,_xlfn.LET(_xlpm.br,1+3*QUOTIENT(_xlpm.b-1,3),_xlpm.bc,1+3*MOD(_xlpm.b-1,3),_xlpm.v,_xlfn.TOCOL(INDEX(_xlpm.forced,_xlfn.SEQUENCE(3,,_xlpm.br),_xlfn.SEQUENCE(,3,_xlpm.bc)),0,FALSE),--(SUM(--(_xlpm.v=_xlpm.d&amp;""))&gt;1)))))&gt;0,OR(_xlpm.rowBad,_xlpm.colBad,_xlpm.boxBad)))</definedName>
    <definedName name="SDKP_HasProgress">_xlfn.LAMBDA(_xlpm.before,_xlpm.after,SUM(LEN(_xlpm.after&amp;""))&lt;SUM(LEN(_xlpm.before&amp;"")))</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_xlfn.LAMBDA(_xlpm.inputCandidates,INDEX(SDKP_NakedPairBoxStep(_xlpm.inputCandidates),1,5))</definedName>
    <definedName name="SDKP_NakedPairBoxStep">_xlfn.LAMBDA(_xlpm.inputCandidates,_xlfn.LET(_xlpm.candMatrix,_xlpm.inputCandidates,_xlpm.detect,_xlfn.LAMBDA(_xlpm.scanIndex,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_xlpm.sourceText,"R"&amp;_xlpm.firstRow&amp;"C"&amp;_xlpm.firstCol&amp;", R"&amp;_xlpm.secondRow&amp;"C"&amp;_xlpm.secondCol,_xlpm.displayText,"Naked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"&amp;_xlpm.targetText&amp;".",IF(_xlpm.targetText&lt;&gt;"",_xlfn.HSTACK("Naked pair in box",_xlpm.sourceText,_xlpm.pairText,_xlpm.targetText,_xlpm.displayText),_xlfn.HSTACK("","","","","")))),_xlpm.hits,_xlfn.MAP(_xlfn.SEQUENCE(81),_xlfn.LAMBDA(_xlpm.i,INDEX(_xlpm.detect(_xlpm.i),1,1)&lt;&gt;"")),_xlpm.p,IFERROR(_xlfn.XMATCH(TRUE,_xlpm.hits),0),IF(_xlpm.p=0,_xlfn.HSTACK("","","","",""),_xlpm.detect(_xlpm.p))))</definedName>
    <definedName name="SDKP_NakedPairCol">_xlfn.LAMBDA(_xlpm.inputCandidates,INDEX(SDKP_NakedPairColStep(_xlpm.inputCandidates),1,5))</definedName>
    <definedName name="SDKP_NakedPairColStep">_xlfn.LAMBDA(_xlpm.inputCandidates,_xlfn.LET(_xlpm.candMatrix,_xlpm.inputCandidates,_xlpm.detect,_xlfn.LAMBDA(_xlpm.scanIndex,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",TRUE,_xlpm.targetCells),_xlpm.sourceText,"R"&amp;_xlpm.firstPos&amp;"C"&amp;_xlpm.colNum&amp;", R"&amp;_xlpm.secondPos&amp;"C"&amp;_xlpm.colNum,_xlpm.displayText,"Naked pair in column · R"&amp;_xlpm.firstPos&amp;"C"&amp;_xlpm.colNum&amp;" and R"&amp;_xlpm.secondPos&amp;"C"&amp;_xlpm.colNum&amp;" contain only "&amp;LEFT(_xlpm.pairText,1)&amp;"/"&amp;RIGHT(_xlpm.pairText,1)&amp;" · Remove "&amp;LEFT(_xlpm.pairText,1)&amp;" and "&amp;RIGHT(_xlpm.pairText,1)&amp;" from "&amp;_xlpm.targetText&amp;".",IF(_xlpm.targetText&lt;&gt;"",_xlfn.HSTACK("Naked pair in column",_xlpm.sourceText,_xlpm.pairText,_xlpm.targetText,_xlpm.displayText),_xlfn.HSTACK("","","","","")))),_xlpm.hits,_xlfn.MAP(_xlfn.SEQUENCE(81),_xlfn.LAMBDA(_xlpm.i,INDEX(_xlpm.detect(_xlpm.i),1,1)&lt;&gt;"")),_xlpm.p,IFERROR(_xlfn.XMATCH(TRUE,_xlpm.hits),0),IF(_xlpm.p=0,_xlfn.HSTACK("","","","",""),_xlpm.detect(_xlpm.p))))</definedName>
    <definedName name="SDKP_NakedPairRow">_xlfn.LAMBDA(_xlpm.inputCandidates,INDEX(SDKP_NakedPairRowStep(_xlpm.inputCandidates),1,5))</definedName>
    <definedName name="SDKP_NakedPairRowStep">_xlfn.LAMBDA(_xlpm.inputCandidates,_xlfn.LET(_xlpm.candMatrix,_xlpm.inputCandidates,_xlpm.detect,_xlfn.LAMBDA(_xlpm.scanIndex,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",TRUE,_xlpm.targetCells),_xlpm.sourceText,"R"&amp;_xlpm.rowNum&amp;"C"&amp;_xlpm.firstPos&amp;", R"&amp;_xlpm.rowNum&amp;"C"&amp;_xlpm.secondPos,_xlpm.displayText,"Naked pair in row · R"&amp;_xlpm.rowNum&amp;"C"&amp;_xlpm.firstPos&amp;" and R"&amp;_xlpm.rowNum&amp;"C"&amp;_xlpm.secondPos&amp;" contain only "&amp;LEFT(_xlpm.pairText,1)&amp;"/"&amp;RIGHT(_xlpm.pairText,1)&amp;" · Remove "&amp;LEFT(_xlpm.pairText,1)&amp;" and "&amp;RIGHT(_xlpm.pairText,1)&amp;" from "&amp;_xlpm.targetText&amp;".",IF(_xlpm.targetText&lt;&gt;"",_xlfn.HSTACK("Naked pair in row",_xlpm.sourceText,_xlpm.pairText,_xlpm.targetText,_xlpm.displayText),_xlfn.HSTACK("","","","","")))),_xlpm.hits,_xlfn.MAP(_xlfn.SEQUENCE(81),_xlfn.LAMBDA(_xlpm.i,INDEX(_xlpm.detect(_xlpm.i),1,1)&lt;&gt;"")),_xlpm.p,IFERROR(_xlfn.XMATCH(TRUE,_xlpm.hits),0),IF(_xlpm.p=0,_xlfn.HSTACK("","","","",""),_xlpm.detect(_xlp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196" i="10" l="1" a="1"/>
  <c r="D196" i="10" s="1"/>
  <c r="E196" i="10" s="1"/>
  <c r="C196" i="10"/>
  <c r="D195" i="10" a="1"/>
  <c r="D195" i="10" s="1"/>
  <c r="E195" i="10" s="1"/>
  <c r="C195" i="10"/>
  <c r="D194" i="10" a="1"/>
  <c r="D194" i="10" s="1"/>
  <c r="E194" i="10" s="1"/>
  <c r="C194" i="10"/>
  <c r="D193" i="10" a="1"/>
  <c r="D193" i="10" s="1"/>
  <c r="E193" i="10" s="1"/>
  <c r="C193" i="10"/>
  <c r="D192" i="10" a="1"/>
  <c r="D192" i="10" s="1"/>
  <c r="E192" i="10" s="1"/>
  <c r="C192" i="10"/>
  <c r="D191" i="10" a="1"/>
  <c r="D191" i="10" s="1"/>
  <c r="E191" i="10" s="1"/>
  <c r="C191" i="10"/>
  <c r="D190" i="10" a="1"/>
  <c r="D190" i="10" s="1"/>
  <c r="E190" i="10" s="1"/>
  <c r="C190" i="10"/>
  <c r="D189" i="10" a="1"/>
  <c r="D189" i="10" s="1"/>
  <c r="E189" i="10" s="1"/>
  <c r="C189" i="10"/>
  <c r="D188" i="10" a="1"/>
  <c r="D188" i="10" s="1"/>
  <c r="E188" i="10" s="1"/>
  <c r="C188" i="10"/>
  <c r="D187" i="10" a="1"/>
  <c r="D187" i="10" s="1"/>
  <c r="E187" i="10" s="1"/>
  <c r="C187" i="10"/>
  <c r="D186" i="10" a="1"/>
  <c r="D186" i="10" s="1"/>
  <c r="E186" i="10" s="1"/>
  <c r="C186" i="10"/>
  <c r="D185" i="10" a="1"/>
  <c r="D185" i="10" s="1"/>
  <c r="E185" i="10" s="1"/>
  <c r="D184" i="10" a="1"/>
  <c r="D184" i="10" s="1"/>
  <c r="E184" i="10" s="1"/>
  <c r="D183" i="10" a="1"/>
  <c r="D183" i="10" s="1"/>
  <c r="E183" i="10" s="1"/>
  <c r="D182" i="10" a="1"/>
  <c r="D182" i="10" s="1"/>
  <c r="E182" i="10" s="1"/>
  <c r="D181" i="10" a="1"/>
  <c r="D181" i="10" s="1"/>
  <c r="E181" i="10" s="1"/>
  <c r="D180" i="10" a="1"/>
  <c r="D180" i="10" s="1"/>
  <c r="E180" i="10" s="1"/>
  <c r="D179" i="10" a="1"/>
  <c r="D179" i="10" s="1"/>
  <c r="E179" i="10" s="1"/>
  <c r="D178" i="10" a="1"/>
  <c r="D178" i="10" s="1"/>
  <c r="E178" i="10" s="1"/>
  <c r="D177" i="10" a="1"/>
  <c r="D177" i="10" s="1"/>
  <c r="E177" i="10" s="1"/>
  <c r="D176" i="10" a="1"/>
  <c r="D176" i="10" s="1"/>
  <c r="E176" i="10" s="1"/>
  <c r="D175" i="10" a="1"/>
  <c r="D175" i="10" s="1"/>
  <c r="E175" i="10" s="1"/>
  <c r="D174" i="10" a="1"/>
  <c r="D174" i="10" s="1"/>
  <c r="E174" i="10" s="1"/>
  <c r="D173" i="10" a="1"/>
  <c r="D173" i="10" s="1"/>
  <c r="E173" i="10" s="1"/>
  <c r="D172" i="10" a="1"/>
  <c r="D172" i="10" s="1"/>
  <c r="E172" i="10" s="1"/>
  <c r="D171" i="10" a="1"/>
  <c r="D171" i="10" s="1"/>
  <c r="E171" i="10" s="1"/>
  <c r="D170" i="10" a="1"/>
  <c r="D170" i="10" s="1"/>
  <c r="E170" i="10" s="1"/>
  <c r="D169" i="10" a="1"/>
  <c r="D169" i="10" s="1"/>
  <c r="E169" i="10" s="1"/>
  <c r="D168" i="10" a="1"/>
  <c r="D168" i="10" s="1"/>
  <c r="E168" i="10" s="1"/>
  <c r="C168" i="10"/>
  <c r="D167" i="10" a="1"/>
  <c r="D167" i="10" s="1"/>
  <c r="E167" i="10" s="1"/>
  <c r="D166" i="10"/>
  <c r="E166" i="10" s="1"/>
  <c r="D165" i="10" a="1"/>
  <c r="D165" i="10" s="1"/>
  <c r="E165"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I9" i="9" s="1"/>
  <c r="AD23" i="12" s="1" a="1"/>
  <c r="AD23" i="12" s="1"/>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F7" i="16" s="1"/>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E17" i="15" s="1" a="1"/>
  <c r="E17" i="15" s="1"/>
  <c r="N11" i="23" s="1" a="1"/>
  <c r="N11" i="23" s="1"/>
  <c r="K11" i="23"/>
  <c r="D5" i="15" s="1"/>
  <c r="J11" i="23" s="1" a="1"/>
  <c r="J11" i="23" s="1"/>
  <c r="AA8" i="23"/>
  <c r="H4" i="15" s="1"/>
  <c r="K8" i="23"/>
  <c r="D4" i="15" s="1"/>
  <c r="D16" i="15" s="1" a="1"/>
  <c r="D16" i="15" s="1"/>
  <c r="K9" i="23" s="1" a="1"/>
  <c r="K9" i="23" s="1"/>
  <c r="AE5" i="23"/>
  <c r="I3" i="15" s="1"/>
  <c r="G5" i="23"/>
  <c r="K29" i="22"/>
  <c r="D11" i="14" s="1"/>
  <c r="C29" i="22"/>
  <c r="W26" i="22"/>
  <c r="G10" i="14" s="1"/>
  <c r="V26" i="22" s="1" a="1"/>
  <c r="V26" i="22" s="1"/>
  <c r="S26" i="22"/>
  <c r="F10" i="14" s="1"/>
  <c r="S25" i="22" s="1" a="1"/>
  <c r="S25" i="22" s="1"/>
  <c r="K26" i="22"/>
  <c r="G26" i="22"/>
  <c r="C10" i="14" s="1"/>
  <c r="W23" i="22"/>
  <c r="G9" i="14" s="1"/>
  <c r="O23" i="22"/>
  <c r="E9" i="14" s="1"/>
  <c r="G23" i="22"/>
  <c r="C9" i="14" s="1"/>
  <c r="C23" i="22"/>
  <c r="AI20" i="22"/>
  <c r="W20" i="22"/>
  <c r="O20" i="22"/>
  <c r="E8" i="14" s="1"/>
  <c r="AE17" i="22"/>
  <c r="I7" i="14" s="1"/>
  <c r="G17" i="22"/>
  <c r="C7" i="14" s="1"/>
  <c r="C19" i="14" s="1" a="1"/>
  <c r="C19" i="14" s="1"/>
  <c r="G16" i="22" s="1" a="1"/>
  <c r="G16" i="22" s="1"/>
  <c r="W14" i="22"/>
  <c r="G6" i="14" s="1"/>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J11" i="14"/>
  <c r="I11" i="14"/>
  <c r="H11" i="14"/>
  <c r="G11" i="14"/>
  <c r="F11" i="14"/>
  <c r="E11" i="14"/>
  <c r="C11" i="14"/>
  <c r="B11" i="14"/>
  <c r="J10" i="14"/>
  <c r="I10" i="14"/>
  <c r="H10" i="14"/>
  <c r="E10" i="14"/>
  <c r="D10" i="14"/>
  <c r="B10" i="14"/>
  <c r="J9" i="14"/>
  <c r="I9" i="14"/>
  <c r="H9" i="14"/>
  <c r="F9" i="14"/>
  <c r="D9" i="14"/>
  <c r="B9" i="14"/>
  <c r="J8" i="14"/>
  <c r="AI19" i="22" s="1" a="1"/>
  <c r="AI19" i="22" s="1"/>
  <c r="I8" i="14"/>
  <c r="H8" i="14"/>
  <c r="G8" i="14"/>
  <c r="F8" i="14"/>
  <c r="D8" i="14"/>
  <c r="C8" i="14"/>
  <c r="B8" i="14"/>
  <c r="J7" i="14"/>
  <c r="H7" i="14"/>
  <c r="G7" i="14"/>
  <c r="F7" i="14"/>
  <c r="E7" i="14"/>
  <c r="D7" i="14"/>
  <c r="B7" i="14"/>
  <c r="J6" i="14"/>
  <c r="I6" i="14"/>
  <c r="H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H17" i="13" s="1" a="1"/>
  <c r="H17"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6" i="10"/>
  <c r="D145" i="10"/>
  <c r="L102" i="16" l="1" a="1"/>
  <c r="L102" i="16" s="1"/>
  <c r="B15" i="16" s="1" a="1"/>
  <c r="B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14" a="1"/>
  <c r="B90" i="14" s="1"/>
  <c r="B90" i="9" a="1"/>
  <c r="B90" i="9" s="1"/>
  <c r="B89" i="9" a="1"/>
  <c r="B89" i="9" s="1"/>
  <c r="B90" i="13" a="1"/>
  <c r="B90" i="13" s="1"/>
  <c r="B89" i="14" a="1"/>
  <c r="B89" i="14" s="1"/>
  <c r="B90" i="15" a="1"/>
  <c r="B90" i="15" s="1"/>
  <c r="B89" i="13" a="1"/>
  <c r="B89" i="13" s="1"/>
  <c r="B89" i="15" a="1"/>
  <c r="B89" i="15"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B51" i="16" a="1"/>
  <c r="B51" i="16" s="1"/>
  <c r="I53" i="16" a="1"/>
  <c r="I53" i="16" s="1"/>
  <c r="J54" i="16" a="1"/>
  <c r="J54" i="16" s="1"/>
  <c r="B56" i="16" a="1"/>
  <c r="B56" i="16" s="1"/>
  <c r="C57" i="16" a="1"/>
  <c r="C57" i="16" s="1"/>
  <c r="B66" i="16" a="1"/>
  <c r="B66" i="16" s="1"/>
  <c r="AF6" i="24" a="1"/>
  <c r="AF6" i="24" s="1"/>
  <c r="B62" i="16" a="1"/>
  <c r="B62" i="16"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H22" i="16" l="1" a="1"/>
  <c r="H22" i="16" s="1"/>
  <c r="B22" i="16" a="1"/>
  <c r="B22" i="16" s="1"/>
  <c r="B27" i="24" s="1" a="1"/>
  <c r="B27" i="24" s="1"/>
  <c r="G20" i="16" a="1"/>
  <c r="G20" i="16" s="1"/>
  <c r="C19" i="16" a="1"/>
  <c r="C19" i="16" s="1"/>
  <c r="F20" i="16" a="1"/>
  <c r="F20" i="16" s="1"/>
  <c r="T20" i="24" s="1" a="1"/>
  <c r="T20" i="24" s="1"/>
  <c r="I21" i="16" a="1"/>
  <c r="I21" i="16" s="1"/>
  <c r="E20" i="16" a="1"/>
  <c r="E20" i="16" s="1"/>
  <c r="O19" i="24" s="1" a="1"/>
  <c r="O19" i="24" s="1"/>
  <c r="G16" i="16" a="1"/>
  <c r="G16" i="16" s="1"/>
  <c r="X7" i="24" s="1" a="1"/>
  <c r="X7" i="24" s="1"/>
  <c r="E23" i="16" a="1"/>
  <c r="E23" i="16" s="1"/>
  <c r="O30" i="24" s="1" a="1"/>
  <c r="O30" i="24" s="1"/>
  <c r="F23" i="16" a="1"/>
  <c r="F23" i="16" s="1"/>
  <c r="R29" i="24" s="1" a="1"/>
  <c r="R29" i="24" s="1"/>
  <c r="E21" i="16" a="1"/>
  <c r="E21" i="16" s="1"/>
  <c r="I19" i="16" a="1"/>
  <c r="I19" i="16" s="1"/>
  <c r="AE16" i="24" s="1" a="1"/>
  <c r="AE16" i="24" s="1"/>
  <c r="F22" i="16" a="1"/>
  <c r="F22" i="16" s="1"/>
  <c r="T26" i="24" s="1" a="1"/>
  <c r="T26" i="24" s="1"/>
  <c r="B23" i="16" a="1"/>
  <c r="B23" i="16" s="1"/>
  <c r="D28" i="24" s="1" a="1"/>
  <c r="D28" i="24" s="1"/>
  <c r="E22" i="16" a="1"/>
  <c r="E22" i="16" s="1"/>
  <c r="P27" i="24" s="1" a="1"/>
  <c r="P27" i="24" s="1"/>
  <c r="I20" i="16" a="1"/>
  <c r="I20" i="16" s="1"/>
  <c r="AF19" i="24" s="1" a="1"/>
  <c r="AF19" i="24" s="1"/>
  <c r="C22" i="16" a="1"/>
  <c r="C22" i="16" s="1"/>
  <c r="H20" i="16" a="1"/>
  <c r="H20" i="16" s="1"/>
  <c r="Z21" i="24" s="1" a="1"/>
  <c r="Z21" i="24" s="1"/>
  <c r="I17" i="16" a="1"/>
  <c r="I17" i="16" s="1"/>
  <c r="AD11" i="24" s="1" a="1"/>
  <c r="AD11" i="24" s="1"/>
  <c r="E18" i="16" a="1"/>
  <c r="E18" i="16" s="1"/>
  <c r="D18" i="16" a="1"/>
  <c r="D18" i="16" s="1"/>
  <c r="C21" i="16" a="1"/>
  <c r="C21" i="16" s="1"/>
  <c r="F24" i="24" s="1" a="1"/>
  <c r="F24" i="24" s="1"/>
  <c r="J18" i="16" a="1"/>
  <c r="J18" i="16" s="1"/>
  <c r="AJ15" i="24" s="1" a="1"/>
  <c r="AJ15" i="24" s="1"/>
  <c r="G23" i="16" a="1"/>
  <c r="G23" i="16" s="1"/>
  <c r="X28" i="24" s="1" a="1"/>
  <c r="X28" i="24" s="1"/>
  <c r="F21" i="16" a="1"/>
  <c r="F21" i="16" s="1"/>
  <c r="S22" i="24" s="1" a="1"/>
  <c r="S22" i="24" s="1"/>
  <c r="J19" i="16" a="1"/>
  <c r="J19" i="16" s="1"/>
  <c r="D16" i="16" a="1"/>
  <c r="D16" i="16" s="1"/>
  <c r="K7" i="24" s="1" a="1"/>
  <c r="K7" i="24" s="1"/>
  <c r="H17" i="16" a="1"/>
  <c r="H17" i="16" s="1"/>
  <c r="G17" i="16" a="1"/>
  <c r="G17" i="16" s="1"/>
  <c r="V11" i="24" s="1" a="1"/>
  <c r="V11" i="24" s="1"/>
  <c r="H19" i="16" a="1"/>
  <c r="H19" i="16" s="1"/>
  <c r="AA18" i="24" s="1" a="1"/>
  <c r="AA18" i="24" s="1"/>
  <c r="C18" i="16" a="1"/>
  <c r="C18" i="16" s="1"/>
  <c r="H21" i="16" a="1"/>
  <c r="H21" i="16" s="1"/>
  <c r="Z24" i="24" s="1" a="1"/>
  <c r="Z24" i="24" s="1"/>
  <c r="E19" i="16" a="1"/>
  <c r="E19" i="16" s="1"/>
  <c r="P18" i="24" s="1" a="1"/>
  <c r="P18" i="24" s="1"/>
  <c r="D19" i="16" a="1"/>
  <c r="D19" i="16" s="1"/>
  <c r="L16" i="24" s="1" a="1"/>
  <c r="L16" i="24" s="1"/>
  <c r="G15" i="16" a="1"/>
  <c r="G15" i="16" s="1"/>
  <c r="B17" i="16" a="1"/>
  <c r="B17" i="16" s="1"/>
  <c r="D10" i="24" s="1" a="1"/>
  <c r="D10" i="24" s="1"/>
  <c r="C16" i="16" a="1"/>
  <c r="C16" i="16" s="1"/>
  <c r="B19" i="16" a="1"/>
  <c r="B19" i="16" s="1"/>
  <c r="C16" i="24" s="1" a="1"/>
  <c r="C16" i="24" s="1"/>
  <c r="F17" i="16" a="1"/>
  <c r="F17" i="16" s="1"/>
  <c r="T12" i="24" s="1" a="1"/>
  <c r="T12" i="24" s="1"/>
  <c r="B21" i="16" a="1"/>
  <c r="B21" i="16" s="1"/>
  <c r="G18" i="16" a="1"/>
  <c r="G18" i="16" s="1"/>
  <c r="F18" i="16" a="1"/>
  <c r="F18" i="16" s="1"/>
  <c r="T13" i="24" s="1" a="1"/>
  <c r="T13" i="24" s="1"/>
  <c r="I22" i="16" a="1"/>
  <c r="I22" i="16" s="1"/>
  <c r="AE25" i="24" s="1" a="1"/>
  <c r="AE25" i="24" s="1"/>
  <c r="F15" i="16" a="1"/>
  <c r="F15" i="16" s="1"/>
  <c r="T4" i="24" s="1" a="1"/>
  <c r="T4" i="24" s="1"/>
  <c r="E15" i="16" a="1"/>
  <c r="E15" i="16" s="1"/>
  <c r="O6" i="24" s="1" a="1"/>
  <c r="O6" i="24" s="1"/>
  <c r="J16" i="16" a="1"/>
  <c r="J16" i="16" s="1"/>
  <c r="I16" i="16" a="1"/>
  <c r="I16" i="16" s="1"/>
  <c r="AD9" i="24" s="1" a="1"/>
  <c r="AD9" i="24" s="1"/>
  <c r="D20" i="16" a="1"/>
  <c r="D20" i="16" s="1"/>
  <c r="K19" i="24" s="1" a="1"/>
  <c r="K19" i="24" s="1"/>
  <c r="J17" i="16" a="1"/>
  <c r="J17" i="16" s="1"/>
  <c r="AJ12" i="24" s="1" a="1"/>
  <c r="AJ12" i="24" s="1"/>
  <c r="C17" i="16" a="1"/>
  <c r="C17" i="16" s="1"/>
  <c r="G12" i="24" s="1" a="1"/>
  <c r="G12" i="24" s="1"/>
  <c r="B18" i="16" a="1"/>
  <c r="B18" i="16" s="1"/>
  <c r="G21" i="16" a="1"/>
  <c r="G21" i="16" s="1"/>
  <c r="X24" i="24" s="1" a="1"/>
  <c r="X24" i="24" s="1"/>
  <c r="D22" i="16" a="1"/>
  <c r="D22" i="16" s="1"/>
  <c r="J27" i="24" s="1" a="1"/>
  <c r="J27" i="24" s="1"/>
  <c r="B16" i="16" a="1"/>
  <c r="B16" i="16" s="1"/>
  <c r="B8" i="24" s="1" a="1"/>
  <c r="B8" i="24" s="1"/>
  <c r="J15" i="16" a="1"/>
  <c r="J15" i="16" s="1"/>
  <c r="AJ5" i="24" s="1" a="1"/>
  <c r="AJ5" i="24" s="1"/>
  <c r="G19" i="16" a="1"/>
  <c r="G19" i="16" s="1"/>
  <c r="W18" i="24" s="1" a="1"/>
  <c r="W18" i="24" s="1"/>
  <c r="D17" i="16" a="1"/>
  <c r="D17" i="16" s="1"/>
  <c r="E16" i="16" a="1"/>
  <c r="E16" i="16" s="1"/>
  <c r="P7" i="24" s="1" a="1"/>
  <c r="P7" i="24" s="1"/>
  <c r="J23" i="16" a="1"/>
  <c r="J23" i="16" s="1"/>
  <c r="AI30" i="24" s="1" a="1"/>
  <c r="AI30" i="24" s="1"/>
  <c r="H16" i="16" a="1"/>
  <c r="H16" i="16" s="1"/>
  <c r="Z9" i="24" s="1" a="1"/>
  <c r="Z9" i="24" s="1"/>
  <c r="E17" i="16" a="1"/>
  <c r="E17" i="16" s="1"/>
  <c r="C20" i="16" a="1"/>
  <c r="C20" i="16" s="1"/>
  <c r="H19" i="24" s="1" a="1"/>
  <c r="H19" i="24" s="1"/>
  <c r="D15" i="16" a="1"/>
  <c r="D15" i="16" s="1"/>
  <c r="L6" i="24" s="1" a="1"/>
  <c r="L6" i="24" s="1"/>
  <c r="I18" i="16" a="1"/>
  <c r="I18" i="16" s="1"/>
  <c r="AD14" i="24" s="1" a="1"/>
  <c r="AD14" i="24" s="1"/>
  <c r="F16" i="16" a="1"/>
  <c r="F16" i="16" s="1"/>
  <c r="D23" i="16" a="1"/>
  <c r="D23" i="16" s="1"/>
  <c r="J21" i="16" a="1"/>
  <c r="J21" i="16" s="1"/>
  <c r="AJ23" i="24" s="1" a="1"/>
  <c r="AJ23" i="24" s="1"/>
  <c r="I23" i="16" a="1"/>
  <c r="I23" i="16" s="1"/>
  <c r="AF29" i="24" s="1" a="1"/>
  <c r="AF29" i="24" s="1"/>
  <c r="I15" i="16" a="1"/>
  <c r="I15" i="16" s="1"/>
  <c r="B20" i="16" a="1"/>
  <c r="B20" i="16" s="1"/>
  <c r="H18" i="16" a="1"/>
  <c r="H18" i="16" s="1"/>
  <c r="J20" i="16" a="1"/>
  <c r="J20" i="16" s="1"/>
  <c r="AJ19" i="24" s="1" a="1"/>
  <c r="AJ19" i="24" s="1"/>
  <c r="H15" i="16" a="1"/>
  <c r="H15" i="16" s="1"/>
  <c r="AB5" i="24" s="1" a="1"/>
  <c r="AB5" i="24" s="1"/>
  <c r="G22" i="16" a="1"/>
  <c r="G22" i="16" s="1"/>
  <c r="W25" i="24" s="1" a="1"/>
  <c r="W25" i="24" s="1"/>
  <c r="D21" i="16" a="1"/>
  <c r="D21" i="16" s="1"/>
  <c r="K22" i="24" s="1" a="1"/>
  <c r="K22" i="24" s="1"/>
  <c r="C23" i="16" a="1"/>
  <c r="C23" i="16" s="1"/>
  <c r="G30" i="24" s="1" a="1"/>
  <c r="G30" i="24" s="1"/>
  <c r="H23" i="16" a="1"/>
  <c r="H23" i="16" s="1"/>
  <c r="J22" i="16" a="1"/>
  <c r="J22" i="16" s="1"/>
  <c r="C15" i="16" a="1"/>
  <c r="C15" i="16" s="1"/>
  <c r="G4" i="24" s="1" a="1"/>
  <c r="G4" i="24" s="1"/>
  <c r="F19" i="16" a="1"/>
  <c r="F19" i="16" s="1"/>
  <c r="B88" i="16" a="1"/>
  <c r="B88" i="16" s="1"/>
  <c r="B88" i="14" a="1"/>
  <c r="B88" i="14" s="1"/>
  <c r="F7" i="22" s="1" a="1"/>
  <c r="F7" i="22" s="1"/>
  <c r="B88" i="15" a="1"/>
  <c r="B88" i="15" s="1"/>
  <c r="J7" i="23" s="1" a="1"/>
  <c r="J7" i="23" s="1"/>
  <c r="B88" i="13" a="1"/>
  <c r="B88" i="13" s="1"/>
  <c r="Z16" i="21" s="1" a="1"/>
  <c r="Z16" i="21"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T25" i="24" a="1"/>
  <c r="T25" i="24" s="1"/>
  <c r="AB23" i="24" a="1"/>
  <c r="AB23" i="24" s="1"/>
  <c r="H23" i="24" a="1"/>
  <c r="H23" i="24" s="1"/>
  <c r="N18" i="24" a="1"/>
  <c r="N18" i="24" s="1"/>
  <c r="B15" i="24" a="1"/>
  <c r="B15" i="24" s="1"/>
  <c r="B14" i="24" a="1"/>
  <c r="B14" i="24" s="1"/>
  <c r="C15" i="24" a="1"/>
  <c r="C15" i="24" s="1"/>
  <c r="D14" i="24" a="1"/>
  <c r="D14" i="24" s="1"/>
  <c r="D15" i="24" a="1"/>
  <c r="D15" i="24" s="1"/>
  <c r="C13" i="24" a="1"/>
  <c r="C13" i="24" s="1"/>
  <c r="D13" i="24" a="1"/>
  <c r="D13"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H21" i="24" a="1"/>
  <c r="H21" i="24" s="1"/>
  <c r="G7" i="24" a="1"/>
  <c r="G7" i="24" s="1"/>
  <c r="F9" i="24" a="1"/>
  <c r="F9" i="24" s="1"/>
  <c r="H7" i="24" a="1"/>
  <c r="H7" i="24" s="1"/>
  <c r="G9" i="24" a="1"/>
  <c r="G9" i="24" s="1"/>
  <c r="H9" i="24" a="1"/>
  <c r="H9" i="24" s="1"/>
  <c r="F8" i="24" a="1"/>
  <c r="F8" i="24" s="1"/>
  <c r="H8" i="24" a="1"/>
  <c r="H8" i="24" s="1"/>
  <c r="C27" i="24" a="1"/>
  <c r="C27" i="24" s="1"/>
  <c r="AD17" i="24" a="1"/>
  <c r="AD17" i="24" s="1"/>
  <c r="AF18" i="24" a="1"/>
  <c r="AF18" i="24" s="1"/>
  <c r="AF17" i="24" a="1"/>
  <c r="AF17" i="24" s="1"/>
  <c r="AF16" i="24" a="1"/>
  <c r="AF16" i="24" s="1"/>
  <c r="AD18" i="24" a="1"/>
  <c r="AD18" i="24" s="1"/>
  <c r="AE18" i="24" a="1"/>
  <c r="AE18" i="24" s="1"/>
  <c r="L29" i="24" a="1"/>
  <c r="L29" i="24" s="1"/>
  <c r="J30" i="24" a="1"/>
  <c r="J30" i="24" s="1"/>
  <c r="K30" i="24" a="1"/>
  <c r="K30" i="24" s="1"/>
  <c r="K28" i="24" a="1"/>
  <c r="K28" i="24" s="1"/>
  <c r="L30" i="24" a="1"/>
  <c r="L30" i="24" s="1"/>
  <c r="L28" i="24" a="1"/>
  <c r="L28" i="24" s="1"/>
  <c r="J29" i="24" a="1"/>
  <c r="J29" i="24" s="1"/>
  <c r="D27" i="24" a="1"/>
  <c r="D27" i="24" s="1"/>
  <c r="D26" i="24" a="1"/>
  <c r="D26" i="24" s="1"/>
  <c r="C25" i="24" a="1"/>
  <c r="C25" i="24" s="1"/>
  <c r="D25" i="24" a="1"/>
  <c r="D25" i="24" s="1"/>
  <c r="G16" i="24" a="1"/>
  <c r="G16" i="24" s="1"/>
  <c r="H16" i="24" a="1"/>
  <c r="H16" i="24" s="1"/>
  <c r="F17" i="24" a="1"/>
  <c r="F17" i="24" s="1"/>
  <c r="F18" i="24" a="1"/>
  <c r="F18" i="24" s="1"/>
  <c r="H18" i="24" a="1"/>
  <c r="H18" i="24" s="1"/>
  <c r="H17" i="24" a="1"/>
  <c r="H17" i="24" s="1"/>
  <c r="G18" i="24" a="1"/>
  <c r="G18"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W19" i="24" a="1"/>
  <c r="W19" i="24" s="1"/>
  <c r="X19" i="24" a="1"/>
  <c r="X19" i="24" s="1"/>
  <c r="V20" i="24" a="1"/>
  <c r="V20" i="24" s="1"/>
  <c r="X20" i="24" a="1"/>
  <c r="X20" i="24" s="1"/>
  <c r="V21" i="24" a="1"/>
  <c r="V21" i="24" s="1"/>
  <c r="X21" i="24" a="1"/>
  <c r="X21" i="24" s="1"/>
  <c r="W21" i="24" a="1"/>
  <c r="W21" i="24" s="1"/>
  <c r="AE21" i="24" a="1"/>
  <c r="AE21"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6" i="24" a="1"/>
  <c r="AF26" i="24" s="1"/>
  <c r="K27" i="24" a="1"/>
  <c r="K27" i="24" s="1"/>
  <c r="F27" i="24" a="1"/>
  <c r="F27" i="24" s="1"/>
  <c r="F26" i="24" a="1"/>
  <c r="F26" i="24" s="1"/>
  <c r="G27" i="24" a="1"/>
  <c r="G27" i="24" s="1"/>
  <c r="H26" i="24" a="1"/>
  <c r="H26" i="24" s="1"/>
  <c r="H27" i="24" a="1"/>
  <c r="H27" i="24" s="1"/>
  <c r="G25" i="24" a="1"/>
  <c r="G25" i="24" s="1"/>
  <c r="H25" i="24" a="1"/>
  <c r="H25" i="24" s="1"/>
  <c r="AJ9" i="24" a="1"/>
  <c r="AJ9" i="24" s="1"/>
  <c r="AJ7" i="24" a="1"/>
  <c r="AJ7" i="24" s="1"/>
  <c r="AH8" i="24" a="1"/>
  <c r="AH8" i="24" s="1"/>
  <c r="AJ8" i="24" a="1"/>
  <c r="AJ8" i="24" s="1"/>
  <c r="AH9" i="24" a="1"/>
  <c r="AH9" i="24" s="1"/>
  <c r="AI9" i="24" a="1"/>
  <c r="AI9" i="24" s="1"/>
  <c r="AI7" i="24" a="1"/>
  <c r="AI7" i="24" s="1"/>
  <c r="AU8" i="24"/>
  <c r="C24" i="24" a="1"/>
  <c r="C24" i="24" s="1"/>
  <c r="B23" i="24" a="1"/>
  <c r="B23" i="24" s="1"/>
  <c r="C22" i="24" a="1"/>
  <c r="C22" i="24" s="1"/>
  <c r="D22" i="24" a="1"/>
  <c r="D22" i="24" s="1"/>
  <c r="B24" i="24" a="1"/>
  <c r="B24" i="24" s="1"/>
  <c r="D24" i="24" a="1"/>
  <c r="D24" i="24" s="1"/>
  <c r="D23" i="24" a="1"/>
  <c r="D23" i="24" s="1"/>
  <c r="B26" i="24" a="1"/>
  <c r="B26" i="24" s="1"/>
  <c r="R18" i="24" a="1"/>
  <c r="R18" i="24" s="1"/>
  <c r="R17" i="24" a="1"/>
  <c r="R17" i="24" s="1"/>
  <c r="S18" i="24" a="1"/>
  <c r="S18" i="24" s="1"/>
  <c r="S16" i="24" a="1"/>
  <c r="S16" i="24" s="1"/>
  <c r="T16" i="24" a="1"/>
  <c r="T16" i="24" s="1"/>
  <c r="T18" i="24" a="1"/>
  <c r="T18" i="24" s="1"/>
  <c r="T17" i="24" a="1"/>
  <c r="T17" i="24" s="1"/>
  <c r="AB15" i="24" a="1"/>
  <c r="AB15" i="24" s="1"/>
  <c r="Z14" i="24" a="1"/>
  <c r="Z14" i="24" s="1"/>
  <c r="AA13" i="24" a="1"/>
  <c r="AA13" i="24" s="1"/>
  <c r="AB13" i="24" a="1"/>
  <c r="AB13" i="24" s="1"/>
  <c r="Z15" i="24" a="1"/>
  <c r="Z15" i="24" s="1"/>
  <c r="AA15" i="24" a="1"/>
  <c r="AA15" i="24" s="1"/>
  <c r="AB14" i="24" a="1"/>
  <c r="AB1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O15" i="24" a="1"/>
  <c r="O15" i="24" s="1"/>
  <c r="P15" i="24" a="1"/>
  <c r="P15" i="24" s="1"/>
  <c r="O13" i="24" a="1"/>
  <c r="O13" i="24" s="1"/>
  <c r="P14" i="24" a="1"/>
  <c r="P14" i="24" s="1"/>
  <c r="P13" i="24" a="1"/>
  <c r="P13" i="24" s="1"/>
  <c r="N15" i="24" a="1"/>
  <c r="N15" i="24" s="1"/>
  <c r="N14" i="24" a="1"/>
  <c r="N14" i="24" s="1"/>
  <c r="W24" i="24" a="1"/>
  <c r="W24" i="24" s="1"/>
  <c r="X23" i="24" a="1"/>
  <c r="X23" i="24" s="1"/>
  <c r="W22" i="24" a="1"/>
  <c r="W22" i="24" s="1"/>
  <c r="AB30" i="24" a="1"/>
  <c r="AB30" i="24" s="1"/>
  <c r="AB21" i="24" a="1"/>
  <c r="AB21" i="24" s="1"/>
  <c r="AB19" i="24" a="1"/>
  <c r="AB19"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K16" i="24" l="1" a="1"/>
  <c r="K16" i="24" s="1"/>
  <c r="F23" i="24" a="1"/>
  <c r="F23" i="24" s="1"/>
  <c r="Z23" i="24" a="1"/>
  <c r="Z23" i="24" s="1"/>
  <c r="K6" i="24" a="1"/>
  <c r="K6" i="24" s="1"/>
  <c r="L5" i="24" a="1"/>
  <c r="L5" i="24" s="1"/>
  <c r="L7" i="24" a="1"/>
  <c r="L7" i="24" s="1"/>
  <c r="AF27" i="24" a="1"/>
  <c r="AF27" i="24" s="1"/>
  <c r="AA21" i="24" a="1"/>
  <c r="AA21" i="24" s="1"/>
  <c r="L24" i="24" a="1"/>
  <c r="L24" i="24" s="1"/>
  <c r="V24" i="24" a="1"/>
  <c r="V24" i="24" s="1"/>
  <c r="V23" i="24" a="1"/>
  <c r="V23" i="24" s="1"/>
  <c r="X22" i="24" a="1"/>
  <c r="X22" i="24" s="1"/>
  <c r="F20" i="24" a="1"/>
  <c r="F20" i="24" s="1"/>
  <c r="AE15" i="24" a="1"/>
  <c r="AE15" i="24" s="1"/>
  <c r="B9" i="24" a="1"/>
  <c r="B9" i="24" s="1"/>
  <c r="H20" i="24" a="1"/>
  <c r="H20" i="24" s="1"/>
  <c r="O16" i="24" a="1"/>
  <c r="O16" i="24" s="1"/>
  <c r="F21" i="24" a="1"/>
  <c r="F21" i="24" s="1"/>
  <c r="Z6" i="24" a="1"/>
  <c r="Z6" i="24" s="1"/>
  <c r="L25" i="24" a="1"/>
  <c r="L25" i="24" s="1"/>
  <c r="G21" i="24" a="1"/>
  <c r="G21" i="24" s="1"/>
  <c r="K25" i="24" a="1"/>
  <c r="K25" i="24" s="1"/>
  <c r="K4" i="24" a="1"/>
  <c r="K4" i="24" s="1"/>
  <c r="AD26" i="24" a="1"/>
  <c r="AD26" i="24" s="1"/>
  <c r="T15" i="24" a="1"/>
  <c r="T15" i="24" s="1"/>
  <c r="J6" i="24" a="1"/>
  <c r="J6" i="24" s="1"/>
  <c r="L4" i="24" a="1"/>
  <c r="L4" i="24" s="1"/>
  <c r="G19" i="24" a="1"/>
  <c r="G19" i="24" s="1"/>
  <c r="S15" i="24" a="1"/>
  <c r="S15" i="24" s="1"/>
  <c r="AF13" i="24" a="1"/>
  <c r="AF13" i="24" s="1"/>
  <c r="J23" i="24" a="1"/>
  <c r="J23" i="24" s="1"/>
  <c r="D7" i="24" a="1"/>
  <c r="D7" i="24" s="1"/>
  <c r="J24" i="24" a="1"/>
  <c r="J24" i="24" s="1"/>
  <c r="C30" i="24" a="1"/>
  <c r="C30" i="24" s="1"/>
  <c r="C9" i="24" a="1"/>
  <c r="C9" i="24" s="1"/>
  <c r="C7" i="24" a="1"/>
  <c r="C7" i="24" s="1"/>
  <c r="AH6" i="24" a="1"/>
  <c r="AH6" i="24" s="1"/>
  <c r="Z17" i="24" a="1"/>
  <c r="Z17" i="24" s="1"/>
  <c r="AH5" i="24" a="1"/>
  <c r="AH5" i="24" s="1"/>
  <c r="AB18" i="24" a="1"/>
  <c r="AB18" i="24" s="1"/>
  <c r="L23" i="24" a="1"/>
  <c r="L23" i="24" s="1"/>
  <c r="AI12" i="24" a="1"/>
  <c r="AI12" i="24" s="1"/>
  <c r="AB16" i="24" a="1"/>
  <c r="AB16" i="24" s="1"/>
  <c r="AA16" i="24" a="1"/>
  <c r="AA16" i="24" s="1"/>
  <c r="D9" i="24" a="1"/>
  <c r="D9" i="24" s="1"/>
  <c r="D8" i="24" a="1"/>
  <c r="D8" i="24" s="1"/>
  <c r="L20" i="24" a="1"/>
  <c r="L20" i="24" s="1"/>
  <c r="J20" i="24" a="1"/>
  <c r="J20" i="24" s="1"/>
  <c r="L19" i="24" a="1"/>
  <c r="L19" i="24" s="1"/>
  <c r="K24" i="24" a="1"/>
  <c r="K24" i="24" s="1"/>
  <c r="X9" i="24" a="1"/>
  <c r="X9" i="24" s="1"/>
  <c r="R15" i="24" a="1"/>
  <c r="R15" i="24" s="1"/>
  <c r="L21" i="24" a="1"/>
  <c r="L21" i="24" s="1"/>
  <c r="AD21" i="24" a="1"/>
  <c r="AD21" i="24" s="1"/>
  <c r="Z18" i="24" a="1"/>
  <c r="Z18" i="24" s="1"/>
  <c r="AB20" i="24" a="1"/>
  <c r="AB20" i="24" s="1"/>
  <c r="N6" i="24" a="1"/>
  <c r="N6" i="24" s="1"/>
  <c r="H29" i="24" a="1"/>
  <c r="H29" i="24" s="1"/>
  <c r="C12" i="24" a="1"/>
  <c r="C12" i="24" s="1"/>
  <c r="AB9" i="24" a="1"/>
  <c r="AB9" i="24" s="1"/>
  <c r="Z20" i="24" a="1"/>
  <c r="Z20" i="24" s="1"/>
  <c r="P5" i="24" a="1"/>
  <c r="P5" i="24" s="1"/>
  <c r="F29" i="24" a="1"/>
  <c r="F29" i="24" s="1"/>
  <c r="AB7" i="24" a="1"/>
  <c r="AB7" i="24" s="1"/>
  <c r="V8" i="24" a="1"/>
  <c r="V8" i="24" s="1"/>
  <c r="R24" i="24" a="1"/>
  <c r="R24" i="24" s="1"/>
  <c r="H28" i="24" a="1"/>
  <c r="H28" i="24" s="1"/>
  <c r="W7" i="24" a="1"/>
  <c r="W7" i="24" s="1"/>
  <c r="AA19" i="24" a="1"/>
  <c r="AA19" i="24" s="1"/>
  <c r="L22" i="24" a="1"/>
  <c r="L22" i="24" s="1"/>
  <c r="T23" i="24" a="1"/>
  <c r="T23" i="24" s="1"/>
  <c r="G28" i="24" a="1"/>
  <c r="G28" i="24" s="1"/>
  <c r="AJ4" i="24" a="1"/>
  <c r="AJ4" i="24" s="1"/>
  <c r="B17" i="24" a="1"/>
  <c r="B17" i="24" s="1"/>
  <c r="X29" i="24" a="1"/>
  <c r="X29" i="24" s="1"/>
  <c r="AD15" i="24" a="1"/>
  <c r="AD15" i="24" s="1"/>
  <c r="L8" i="24" a="1"/>
  <c r="L8" i="24" s="1"/>
  <c r="C28" i="24" a="1"/>
  <c r="C28" i="24" s="1"/>
  <c r="J17" i="24" a="1"/>
  <c r="J17" i="24" s="1"/>
  <c r="T6" i="24" a="1"/>
  <c r="T6" i="24" s="1"/>
  <c r="V29" i="24" a="1"/>
  <c r="V29" i="24" s="1"/>
  <c r="S4" i="24" a="1"/>
  <c r="S4" i="24" s="1"/>
  <c r="AE13" i="24" a="1"/>
  <c r="AE13" i="24" s="1"/>
  <c r="W28" i="24" a="1"/>
  <c r="W28" i="24" s="1"/>
  <c r="L18" i="24" a="1"/>
  <c r="L18" i="24" s="1"/>
  <c r="R6" i="24" a="1"/>
  <c r="R6" i="24" s="1"/>
  <c r="K18" i="24" a="1"/>
  <c r="K18" i="24" s="1"/>
  <c r="S6" i="24" a="1"/>
  <c r="S6" i="24" s="1"/>
  <c r="W30" i="24" a="1"/>
  <c r="W30" i="24" s="1"/>
  <c r="D30" i="24" a="1"/>
  <c r="D30" i="24" s="1"/>
  <c r="S13" i="24" a="1"/>
  <c r="S13" i="24" s="1"/>
  <c r="AB22" i="24" a="1"/>
  <c r="AB22" i="24" s="1"/>
  <c r="X30" i="24" a="1"/>
  <c r="X30" i="24" s="1"/>
  <c r="V30" i="24" a="1"/>
  <c r="V30" i="24" s="1"/>
  <c r="D29" i="24" a="1"/>
  <c r="D29" i="24" s="1"/>
  <c r="AI15" i="24" a="1"/>
  <c r="AI15" i="24" s="1"/>
  <c r="AB24" i="24" a="1"/>
  <c r="AB24" i="24" s="1"/>
  <c r="AF15" i="24" a="1"/>
  <c r="AF15" i="24" s="1"/>
  <c r="B29" i="24" a="1"/>
  <c r="B29" i="24" s="1"/>
  <c r="J18" i="24" a="1"/>
  <c r="J18" i="24" s="1"/>
  <c r="B30" i="24" a="1"/>
  <c r="B30" i="24" s="1"/>
  <c r="L17" i="24" a="1"/>
  <c r="L17" i="24" s="1"/>
  <c r="T5" i="24" a="1"/>
  <c r="T5" i="24" s="1"/>
  <c r="AF14" i="24" a="1"/>
  <c r="AF14" i="24" s="1"/>
  <c r="R5" i="24" a="1"/>
  <c r="R5" i="24" s="1"/>
  <c r="AJ20" i="24" a="1"/>
  <c r="AJ20" i="24" s="1"/>
  <c r="O28" i="24" a="1"/>
  <c r="O28" i="24" s="1"/>
  <c r="W12" i="24" a="1"/>
  <c r="W12" i="24" s="1"/>
  <c r="L9" i="24" a="1"/>
  <c r="L9" i="24" s="1"/>
  <c r="N30" i="24" a="1"/>
  <c r="N30" i="24" s="1"/>
  <c r="F30" i="24" a="1"/>
  <c r="F30" i="24" s="1"/>
  <c r="AI10" i="24" a="1"/>
  <c r="AI10" i="24" s="1"/>
  <c r="C10" i="24" a="1"/>
  <c r="C10" i="24" s="1"/>
  <c r="P30" i="24" a="1"/>
  <c r="P30" i="24" s="1"/>
  <c r="B12" i="24" a="1"/>
  <c r="B12" i="24" s="1"/>
  <c r="R11" i="24" a="1"/>
  <c r="R11" i="24" s="1"/>
  <c r="AE19" i="24" a="1"/>
  <c r="AE19" i="24" s="1"/>
  <c r="H30" i="24" a="1"/>
  <c r="H30" i="24" s="1"/>
  <c r="N29" i="24" a="1"/>
  <c r="N29" i="24" s="1"/>
  <c r="AE10" i="24" a="1"/>
  <c r="AE10" i="24" s="1"/>
  <c r="X18" i="24" a="1"/>
  <c r="X18" i="24" s="1"/>
  <c r="R12" i="24" a="1"/>
  <c r="R12" i="24" s="1"/>
  <c r="AF21" i="24" a="1"/>
  <c r="AF21" i="24" s="1"/>
  <c r="P28" i="24" a="1"/>
  <c r="P28" i="24" s="1"/>
  <c r="D11" i="24" a="1"/>
  <c r="D11" i="24" s="1"/>
  <c r="AF10" i="24" a="1"/>
  <c r="AF10" i="24" s="1"/>
  <c r="V18" i="24" a="1"/>
  <c r="V18" i="24" s="1"/>
  <c r="T11" i="24" a="1"/>
  <c r="T11" i="24" s="1"/>
  <c r="P29" i="24" a="1"/>
  <c r="P29" i="24" s="1"/>
  <c r="X12" i="24" a="1"/>
  <c r="X12" i="24" s="1"/>
  <c r="AF11" i="24" a="1"/>
  <c r="AF11" i="24" s="1"/>
  <c r="S12" i="24" a="1"/>
  <c r="S12" i="24" s="1"/>
  <c r="AD12" i="24" a="1"/>
  <c r="AD12" i="24" s="1"/>
  <c r="T10" i="24" a="1"/>
  <c r="T10" i="24" s="1"/>
  <c r="J21" i="24" a="1"/>
  <c r="J21" i="24" s="1"/>
  <c r="AF20" i="24" a="1"/>
  <c r="AF20" i="24" s="1"/>
  <c r="AJ11" i="24" a="1"/>
  <c r="AJ11" i="24" s="1"/>
  <c r="B11" i="24" a="1"/>
  <c r="B11" i="24" s="1"/>
  <c r="P8" i="24" a="1"/>
  <c r="P8" i="24" s="1"/>
  <c r="AF12" i="24" a="1"/>
  <c r="AF12" i="24" s="1"/>
  <c r="T14" i="24" a="1"/>
  <c r="T14" i="24" s="1"/>
  <c r="AH21" i="24" a="1"/>
  <c r="AH21" i="24" s="1"/>
  <c r="S10" i="24" a="1"/>
  <c r="S10" i="24" s="1"/>
  <c r="AD20" i="24" a="1"/>
  <c r="AD20" i="24" s="1"/>
  <c r="AH12" i="24" a="1"/>
  <c r="AH12" i="24" s="1"/>
  <c r="D12" i="24" a="1"/>
  <c r="D12" i="24" s="1"/>
  <c r="P9" i="24" a="1"/>
  <c r="P9" i="24" s="1"/>
  <c r="AH23" i="24" a="1"/>
  <c r="AH23" i="24" s="1"/>
  <c r="K21" i="24" a="1"/>
  <c r="K21" i="24" s="1"/>
  <c r="AH11" i="24" a="1"/>
  <c r="AH11" i="24" s="1"/>
  <c r="N9" i="24" a="1"/>
  <c r="N9" i="24" s="1"/>
  <c r="R14" i="24" a="1"/>
  <c r="R14" i="24" s="1"/>
  <c r="AI19" i="24" a="1"/>
  <c r="AI19" i="24" s="1"/>
  <c r="AI13" i="24" a="1"/>
  <c r="AI13" i="24" s="1"/>
  <c r="R26" i="24" a="1"/>
  <c r="R26" i="24" s="1"/>
  <c r="K9" i="24" a="1"/>
  <c r="K9" i="24" s="1"/>
  <c r="T27" i="24" a="1"/>
  <c r="T27" i="24" s="1"/>
  <c r="P19" i="24" a="1"/>
  <c r="P19" i="24" s="1"/>
  <c r="O18" i="24" a="1"/>
  <c r="O18" i="24" s="1"/>
  <c r="R27" i="24" a="1"/>
  <c r="R27" i="24" s="1"/>
  <c r="AA4" i="24" a="1"/>
  <c r="AA4" i="24" s="1"/>
  <c r="J9" i="24" a="1"/>
  <c r="J9" i="24" s="1"/>
  <c r="L26" i="24" a="1"/>
  <c r="L26" i="24" s="1"/>
  <c r="AE27" i="24" a="1"/>
  <c r="AE27" i="24" s="1"/>
  <c r="N21" i="24" a="1"/>
  <c r="N21" i="24" s="1"/>
  <c r="H5" i="24" a="1"/>
  <c r="H5" i="24" s="1"/>
  <c r="P17" i="24" a="1"/>
  <c r="P17" i="24" s="1"/>
  <c r="S25" i="24" a="1"/>
  <c r="S25" i="24" s="1"/>
  <c r="O21" i="24" a="1"/>
  <c r="O21" i="24" s="1"/>
  <c r="J5" i="24" a="1"/>
  <c r="J5" i="24" s="1"/>
  <c r="AH24" i="24" a="1"/>
  <c r="AH24" i="24" s="1"/>
  <c r="L27" i="24" a="1"/>
  <c r="L27" i="24" s="1"/>
  <c r="J8" i="24" a="1"/>
  <c r="J8" i="24" s="1"/>
  <c r="AB4" i="24" a="1"/>
  <c r="AB4" i="24" s="1"/>
  <c r="J26" i="24" a="1"/>
  <c r="J26" i="24" s="1"/>
  <c r="AD27" i="24" a="1"/>
  <c r="AD27" i="24" s="1"/>
  <c r="H6" i="24" a="1"/>
  <c r="H6" i="24" s="1"/>
  <c r="AJ14" i="24" a="1"/>
  <c r="AJ14" i="24" s="1"/>
  <c r="N17" i="24" a="1"/>
  <c r="N17" i="24" s="1"/>
  <c r="S27" i="24" a="1"/>
  <c r="S27" i="24" s="1"/>
  <c r="Z5" i="24" a="1"/>
  <c r="Z5" i="24" s="1"/>
  <c r="H10" i="24" a="1"/>
  <c r="H10" i="24" s="1"/>
  <c r="AJ13" i="24" a="1"/>
  <c r="AJ13" i="24" s="1"/>
  <c r="P16" i="24" a="1"/>
  <c r="P16" i="24" s="1"/>
  <c r="AF7" i="24" a="1"/>
  <c r="AF7" i="24" s="1"/>
  <c r="AF25" i="24" a="1"/>
  <c r="AF25" i="24" s="1"/>
  <c r="V12" i="24" a="1"/>
  <c r="V12" i="24" s="1"/>
  <c r="AB17" i="24" a="1"/>
  <c r="AB17" i="24" s="1"/>
  <c r="AH15" i="24" a="1"/>
  <c r="AH15" i="24" s="1"/>
  <c r="AF8" i="24" a="1"/>
  <c r="AF8" i="24" s="1"/>
  <c r="AA7" i="24" a="1"/>
  <c r="AA7" i="24" s="1"/>
  <c r="AH14" i="24" a="1"/>
  <c r="AH14" i="24" s="1"/>
  <c r="S19" i="24" a="1"/>
  <c r="S19" i="24" s="1"/>
  <c r="AJ24" i="24" a="1"/>
  <c r="AJ24" i="24" s="1"/>
  <c r="N5" i="24" a="1"/>
  <c r="N5" i="24" s="1"/>
  <c r="AD8" i="24" a="1"/>
  <c r="AD8" i="24" s="1"/>
  <c r="T22" i="24" a="1"/>
  <c r="T22" i="24" s="1"/>
  <c r="AJ10" i="24" a="1"/>
  <c r="AJ10" i="24" s="1"/>
  <c r="X10" i="24" a="1"/>
  <c r="X10" i="24" s="1"/>
  <c r="F5" i="24" a="1"/>
  <c r="F5" i="24" s="1"/>
  <c r="AF9" i="24" a="1"/>
  <c r="AF9" i="24" s="1"/>
  <c r="P4" i="24" a="1"/>
  <c r="P4" i="24" s="1"/>
  <c r="T24" i="24" a="1"/>
  <c r="T24" i="24" s="1"/>
  <c r="AJ6" i="24" a="1"/>
  <c r="AJ6" i="24" s="1"/>
  <c r="W10" i="24" a="1"/>
  <c r="W10" i="24" s="1"/>
  <c r="N20" i="24" a="1"/>
  <c r="N20" i="24" s="1"/>
  <c r="G6" i="24" a="1"/>
  <c r="G6" i="24" s="1"/>
  <c r="P20" i="24" a="1"/>
  <c r="P20" i="24" s="1"/>
  <c r="F6" i="24" a="1"/>
  <c r="F6" i="24" s="1"/>
  <c r="AI24" i="24" a="1"/>
  <c r="AI24" i="24" s="1"/>
  <c r="AJ22" i="24" a="1"/>
  <c r="AJ22" i="24" s="1"/>
  <c r="AE7" i="24" a="1"/>
  <c r="AE7" i="24" s="1"/>
  <c r="R23" i="24" a="1"/>
  <c r="R23" i="24" s="1"/>
  <c r="AI4" i="24" a="1"/>
  <c r="AI4" i="24" s="1"/>
  <c r="AI22" i="24" a="1"/>
  <c r="AI22" i="24" s="1"/>
  <c r="AE9" i="24" a="1"/>
  <c r="AE9" i="24" s="1"/>
  <c r="P6" i="24" a="1"/>
  <c r="P6" i="24" s="1"/>
  <c r="S24" i="24" a="1"/>
  <c r="S24" i="24" s="1"/>
  <c r="AI6" i="24" a="1"/>
  <c r="AI6" i="24" s="1"/>
  <c r="X11" i="24" a="1"/>
  <c r="X11" i="24" s="1"/>
  <c r="AB6" i="24" a="1"/>
  <c r="AB6" i="24" s="1"/>
  <c r="P21" i="24" a="1"/>
  <c r="P21" i="24" s="1"/>
  <c r="AA9" i="24" a="1"/>
  <c r="AA9" i="24" s="1"/>
  <c r="H4" i="24" a="1"/>
  <c r="H4" i="24" s="1"/>
  <c r="X8" i="24" a="1"/>
  <c r="X8" i="24" s="1"/>
  <c r="AE12" i="24" a="1"/>
  <c r="AE12" i="24" s="1"/>
  <c r="O4" i="24" a="1"/>
  <c r="O4" i="24" s="1"/>
  <c r="AA6" i="24" a="1"/>
  <c r="AA6" i="24" s="1"/>
  <c r="Z8" i="24" a="1"/>
  <c r="Z8" i="24" s="1"/>
  <c r="W9" i="24" a="1"/>
  <c r="W9" i="24" s="1"/>
  <c r="C18" i="24" a="1"/>
  <c r="C18" i="24" s="1"/>
  <c r="AB8" i="24" a="1"/>
  <c r="AB8" i="24" s="1"/>
  <c r="X17" i="24" a="1"/>
  <c r="X17" i="24" s="1"/>
  <c r="H12" i="24" a="1"/>
  <c r="H12" i="24" s="1"/>
  <c r="V17" i="24" a="1"/>
  <c r="V17" i="24" s="1"/>
  <c r="F11" i="24" a="1"/>
  <c r="F11" i="24" s="1"/>
  <c r="W16" i="24" a="1"/>
  <c r="W16" i="24" s="1"/>
  <c r="D17" i="24" a="1"/>
  <c r="D17" i="24" s="1"/>
  <c r="N8" i="24" a="1"/>
  <c r="N8" i="24" s="1"/>
  <c r="O9" i="24" a="1"/>
  <c r="O9" i="24" s="1"/>
  <c r="B18" i="24" a="1"/>
  <c r="B18" i="24" s="1"/>
  <c r="O7" i="24" a="1"/>
  <c r="O7" i="24" s="1"/>
  <c r="G10" i="24" a="1"/>
  <c r="G10" i="24" s="1"/>
  <c r="D18" i="24" a="1"/>
  <c r="D18" i="24" s="1"/>
  <c r="AI21" i="24" a="1"/>
  <c r="AI21" i="24" s="1"/>
  <c r="T30" i="24" a="1"/>
  <c r="T30" i="24" s="1"/>
  <c r="F12" i="24" a="1"/>
  <c r="F12" i="24" s="1"/>
  <c r="D16" i="24" a="1"/>
  <c r="D16" i="24" s="1"/>
  <c r="AJ21" i="24" a="1"/>
  <c r="AJ21" i="24" s="1"/>
  <c r="N27" i="24" a="1"/>
  <c r="N27" i="24" s="1"/>
  <c r="V9" i="24" a="1"/>
  <c r="V9" i="24" s="1"/>
  <c r="AH20" i="24" a="1"/>
  <c r="AH20" i="24" s="1"/>
  <c r="H22" i="24" a="1"/>
  <c r="H22" i="24" s="1"/>
  <c r="AA22" i="24" a="1"/>
  <c r="AA22" i="24" s="1"/>
  <c r="G22" i="24" a="1"/>
  <c r="G22" i="24" s="1"/>
  <c r="AA24" i="24" a="1"/>
  <c r="AA24" i="24" s="1"/>
  <c r="H24" i="24" a="1"/>
  <c r="H24" i="24" s="1"/>
  <c r="X27" i="24" a="1"/>
  <c r="X27" i="24" s="1"/>
  <c r="G24" i="24" a="1"/>
  <c r="G24" i="24" s="1"/>
  <c r="H11" i="24" a="1"/>
  <c r="H11" i="24" s="1"/>
  <c r="R30" i="24" a="1"/>
  <c r="R30" i="24" s="1"/>
  <c r="AD30" i="24" a="1"/>
  <c r="AD30" i="24" s="1"/>
  <c r="X25" i="24" a="1"/>
  <c r="X25" i="24" s="1"/>
  <c r="V27" i="24" a="1"/>
  <c r="V27" i="24" s="1"/>
  <c r="V26" i="24" a="1"/>
  <c r="V26" i="24" s="1"/>
  <c r="AE30" i="24" a="1"/>
  <c r="AE30" i="24" s="1"/>
  <c r="W27" i="24" a="1"/>
  <c r="W27" i="24" s="1"/>
  <c r="R20" i="24" a="1"/>
  <c r="R20" i="24" s="1"/>
  <c r="T19" i="24" a="1"/>
  <c r="T19" i="24" s="1"/>
  <c r="X16" i="24" a="1"/>
  <c r="X16" i="24" s="1"/>
  <c r="N26" i="24" a="1"/>
  <c r="N26" i="24" s="1"/>
  <c r="S28" i="24" a="1"/>
  <c r="S28" i="24" s="1"/>
  <c r="O27" i="24" a="1"/>
  <c r="O27" i="24" s="1"/>
  <c r="T21" i="24" a="1"/>
  <c r="T21" i="24" s="1"/>
  <c r="P26" i="24" a="1"/>
  <c r="P26" i="24" s="1"/>
  <c r="AF28" i="24" a="1"/>
  <c r="AF28" i="24" s="1"/>
  <c r="S21" i="24" a="1"/>
  <c r="S21" i="24" s="1"/>
  <c r="P25" i="24" a="1"/>
  <c r="P25" i="24" s="1"/>
  <c r="R21" i="24" a="1"/>
  <c r="R21" i="24" s="1"/>
  <c r="O25" i="24" a="1"/>
  <c r="O25" i="24" s="1"/>
  <c r="AJ29" i="24" a="1"/>
  <c r="AJ29" i="24" s="1"/>
  <c r="AJ28" i="24" a="1"/>
  <c r="AJ28" i="24" s="1"/>
  <c r="S30" i="24" a="1"/>
  <c r="S30" i="24" s="1"/>
  <c r="AJ30" i="24" a="1"/>
  <c r="AJ30" i="24" s="1"/>
  <c r="T28" i="24" a="1"/>
  <c r="T28" i="24" s="1"/>
  <c r="AH29" i="24" a="1"/>
  <c r="AH29" i="24" s="1"/>
  <c r="T29" i="24" a="1"/>
  <c r="T29" i="24" s="1"/>
  <c r="AE28" i="24" a="1"/>
  <c r="AE28" i="24" s="1"/>
  <c r="N28" i="24" a="1"/>
  <c r="N28" i="24" s="1"/>
  <c r="AI28" i="24" a="1"/>
  <c r="AI28" i="24" s="1"/>
  <c r="AH30" i="24" a="1"/>
  <c r="AH30" i="24" s="1"/>
  <c r="AD29" i="24" a="1"/>
  <c r="AD29" i="24" s="1"/>
  <c r="X26" i="24" a="1"/>
  <c r="X26" i="24" s="1"/>
  <c r="AF30" i="24" a="1"/>
  <c r="AF30" i="24" s="1"/>
  <c r="B90" i="16"/>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<sst xmlns="http://schemas.openxmlformats.org/spreadsheetml/2006/main" count="959" uniqueCount="688">
  <si>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</si>
  <si>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</si>
  <si>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</si>
  <si>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</si>
  <si>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</si>
  <si>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</si>
  <si>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</si>
  <si>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</si>
  <si>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</si>
  <si>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</si>
  <si>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</si>
  <si>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</si>
  <si>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</si>
  <si>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</si>
  <si>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</si>
  <si>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</si>
  <si>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</si>
  <si>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</si>
  <si>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</si>
  <si>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</si>
  <si>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</si>
  <si>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</si>
  <si>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</si>
  <si>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</si>
  <si>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</si>
  <si>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</si>
  <si>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</si>
  <si>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</si>
  <si>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</si>
  <si>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</si>
  <si>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</si>
  <si>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</si>
  <si>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</si>
  <si>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</si>
  <si>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</si>
  <si>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</si>
  <si>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</si>
  <si>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</si>
  <si>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</si>
  <si>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</si>
  <si>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</si>
  <si>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</si>
  <si>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</si>
  <si>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</si>
  <si>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</si>
  <si>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</si>
  <si>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</si>
  <si>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</si>
  <si>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</si>
  <si>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</si>
  <si>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</si>
  <si>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</si>
  <si>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</si>
  <si>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</si>
  <si>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</si>
  <si>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</si>
  <si>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</si>
  <si>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</si>
  <si>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</si>
  <si>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</si>
  <si>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</si>
  <si>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</si>
  <si>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</si>
  <si>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</si>
  <si>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</si>
  <si>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</si>
  <si>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</si>
  <si>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</si>
  <si>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</si>
  <si>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</si>
  <si>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</si>
  <si>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</si>
  <si>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</si>
  <si>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</si>
  <si>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</si>
  <si>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</si>
  <si>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</si>
  <si>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</si>
  <si>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</si>
  <si>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</si>
  <si>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</si>
  <si>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</si>
  <si>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</si>
  <si>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</si>
  <si>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</si>
  <si>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</si>
  <si>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</si>
  <si>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</si>
  <si>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</si>
  <si>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</si>
  <si>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</si>
  <si>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</si>
  <si>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</si>
  <si>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</si>
  <si>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</si>
  <si>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</si>
  <si>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</si>
  <si>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</si>
  <si>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</si>
  <si>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</si>
  <si>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</si>
  <si>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</si>
  <si>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</si>
  <si>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</si>
  <si>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</si>
  <si>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</si>
  <si>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</si>
  <si>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</si>
  <si>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</si>
  <si>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</si>
  <si>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</si>
  <si>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</si>
  <si>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</si>
  <si>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</si>
  <si>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</si>
  <si>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</si>
  <si>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</si>
  <si>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</si>
  <si>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</si>
  <si>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</si>
  <si>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</si>
  <si>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</si>
  <si>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</si>
  <si>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</si>
  <si>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</si>
  <si>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</si>
  <si>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</si>
  <si>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</si>
  <si>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</si>
  <si>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</si>
  <si>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</si>
  <si>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</si>
  <si>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</si>
  <si>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</si>
  <si>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</si>
  <si>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</si>
  <si>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</si>
  <si>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</si>
  <si>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</si>
  <si>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</si>
  <si>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</si>
  <si>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</si>
  <si>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</si>
  <si>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</si>
  <si>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</si>
  <si>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</si>
  <si>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</si>
  <si>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</si>
  <si>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</si>
  <si>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</si>
  <si>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</si>
  <si>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</si>
  <si>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</si>
  <si>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</si>
  <si>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</si>
  <si>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</si>
  <si>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</si>
  <si>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</si>
  <si>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</si>
  <si>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</si>
  <si>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</si>
  <si>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</si>
  <si>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</si>
  <si>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</si>
  <si>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</si>
  <si>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</si>
  <si>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</si>
  <si>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</si>
  <si>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</si>
  <si>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</si>
  <si>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</si>
  <si>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</si>
  <si>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</si>
  <si>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</si>
  <si>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</si>
  <si>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</si>
  <si>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</si>
  <si>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</si>
  <si>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</si>
  <si>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</si>
  <si>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</si>
  <si>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</si>
  <si>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</si>
  <si>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</si>
  <si>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</si>
  <si>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</si>
  <si>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</si>
  <si>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</si>
  <si>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</si>
  <si>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</si>
  <si>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</si>
  <si>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</si>
  <si>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</si>
  <si>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</si>
  <si>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</si>
  <si>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</si>
  <si>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</si>
  <si>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</si>
  <si>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</si>
  <si>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</si>
  <si>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</si>
  <si>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</si>
  <si>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</si>
  <si>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</si>
  <si>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</si>
  <si>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</si>
  <si>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</si>
  <si>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</si>
  <si>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</si>
  <si>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</si>
  <si>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</si>
  <si>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</si>
  <si>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</si>
  <si>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</si>
  <si>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</si>
  <si>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</si>
  <si>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</si>
  <si>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</si>
  <si>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</si>
  <si>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</si>
  <si>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</si>
  <si>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</si>
  <si>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</si>
  <si>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</si>
  <si>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</si>
  <si>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</si>
  <si>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</si>
  <si>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</si>
  <si>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</si>
  <si>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</si>
  <si>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</si>
  <si>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</si>
  <si>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</si>
  <si>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</si>
  <si>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</si>
  <si>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</si>
  <si>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</si>
  <si>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</si>
  <si>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</si>
  <si>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</si>
  <si>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</si>
  <si>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</si>
  <si>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</si>
  <si>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</si>
  <si>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</si>
  <si>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</si>
  <si>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</si>
  <si>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</si>
  <si>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</si>
  <si>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</si>
  <si>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</si>
  <si>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</si>
  <si>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</si>
  <si>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</si>
  <si>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</si>
  <si>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</si>
  <si>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</si>
  <si>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</si>
  <si>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</si>
  <si>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</si>
  <si>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</si>
  <si>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</si>
  <si>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</si>
  <si>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</si>
  <si>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</si>
  <si>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</si>
  <si>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</si>
  <si>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</si>
  <si>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</si>
  <si>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</si>
  <si>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</si>
  <si>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</si>
  <si>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</si>
  <si>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</si>
  <si>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</si>
  <si>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</si>
  <si>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</si>
  <si>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</si>
  <si>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</si>
  <si>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</si>
  <si>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</si>
  <si>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</si>
  <si>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</si>
  <si>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</si>
  <si>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</si>
  <si>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</si>
  <si>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</si>
  <si>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</si>
  <si>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</si>
  <si>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</si>
  <si>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</si>
  <si>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</si>
  <si>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</si>
  <si>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</si>
  <si>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</si>
  <si>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</si>
  <si>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</si>
  <si>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</si>
  <si>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</si>
  <si>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</si>
  <si>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</si>
  <si>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</si>
  <si>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</si>
  <si>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</si>
  <si>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</si>
  <si>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</si>
  <si>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</si>
  <si>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</si>
  <si>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</si>
  <si>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</si>
  <si>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</si>
  <si>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</si>
  <si>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</si>
  <si>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</si>
  <si>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</si>
  <si>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</si>
  <si>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</si>
  <si>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</si>
  <si>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</si>
  <si>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</si>
  <si>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</si>
  <si>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</si>
  <si>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</si>
  <si>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</si>
  <si>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</si>
  <si>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</si>
  <si>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</si>
  <si>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</si>
  <si>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</si>
  <si>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</si>
  <si>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</si>
  <si>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</si>
  <si>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</si>
  <si>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</si>
  <si>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</si>
  <si>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</si>
  <si>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</si>
  <si>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</si>
  <si>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</si>
  <si>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</si>
  <si>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</si>
  <si>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</si>
  <si>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</si>
  <si>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</si>
  <si>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</si>
  <si>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</si>
  <si>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</si>
  <si>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</si>
  <si>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</si>
  <si>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</si>
  <si>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</si>
  <si>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</si>
  <si>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</si>
  <si>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</si>
  <si>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</si>
  <si>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</si>
  <si>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</si>
  <si>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</si>
  <si>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</si>
  <si>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</si>
  <si>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</si>
  <si>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</si>
  <si>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</si>
  <si>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</si>
  <si>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</si>
  <si>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</si>
  <si>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</si>
  <si>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</si>
  <si>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</si>
  <si>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</si>
  <si>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</si>
  <si>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</si>
  <si>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</si>
  <si>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</si>
  <si>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</si>
  <si>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</si>
  <si>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</si>
  <si>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</si>
  <si>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</si>
  <si>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</si>
  <si>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</si>
  <si>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</si>
  <si>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</si>
  <si>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</si>
  <si>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</si>
  <si>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</si>
  <si>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</si>
  <si>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</si>
  <si>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</si>
  <si>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</si>
  <si>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</si>
  <si>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</si>
  <si>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</si>
  <si>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</si>
  <si>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</si>
  <si>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</si>
  <si>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</si>
  <si>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</si>
  <si>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</si>
  <si>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</si>
  <si>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</si>
  <si>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</si>
  <si>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</si>
  <si>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</si>
  <si>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</si>
  <si>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</si>
  <si>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</si>
  <si>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</si>
  <si>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</si>
  <si>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</si>
  <si>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</si>
  <si>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</si>
  <si>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</si>
  <si>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</si>
  <si>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</si>
  <si>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</si>
  <si>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</si>
  <si>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</si>
  <si>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</si>
  <si>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</si>
  <si>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</si>
  <si>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</si>
  <si>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</si>
  <si>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</si>
  <si>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</si>
  <si>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</si>
  <si>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</si>
  <si>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</si>
  <si>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</si>
  <si>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</si>
  <si>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</si>
  <si>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</si>
  <si>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</si>
  <si>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</si>
  <si>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</si>
  <si>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</si>
  <si>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</si>
  <si>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</si>
  <si>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</si>
  <si>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</si>
  <si>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</si>
  <si>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</si>
  <si>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</si>
  <si>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</si>
  <si>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</si>
  <si>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</si>
  <si>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</si>
  <si>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</si>
  <si>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</si>
  <si>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</si>
  <si>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</si>
  <si>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</si>
  <si>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</si>
  <si>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</si>
  <si>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</si>
  <si>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</si>
  <si>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</si>
  <si>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</si>
  <si>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</si>
  <si>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</si>
  <si>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</si>
  <si>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</si>
  <si>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</si>
  <si>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</si>
  <si>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</si>
  <si>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</si>
  <si>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</si>
  <si>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</si>
  <si>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</si>
  <si>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</si>
  <si>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</si>
  <si>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</si>
  <si>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</si>
  <si>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</si>
  <si>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</si>
  <si>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</si>
  <si>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</si>
  <si>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</si>
  <si>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</si>
  <si>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</si>
  <si>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</si>
  <si>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</si>
  <si>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</si>
  <si>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</si>
  <si>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</si>
  <si>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</si>
  <si>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</si>
  <si>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</si>
  <si>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</si>
  <si>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</si>
  <si>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</si>
  <si>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</si>
  <si>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</si>
  <si>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</si>
  <si>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</si>
  <si>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</si>
  <si>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</si>
  <si>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</si>
  <si>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</si>
  <si>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</si>
  <si>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</si>
  <si>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</si>
  <si>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</si>
  <si>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</si>
  <si>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</si>
  <si>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</si>
  <si>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</si>
  <si>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</si>
  <si>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</si>
  <si>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</si>
  <si>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</si>
  <si>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</si>
  <si>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</si>
  <si>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</si>
  <si>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</si>
  <si>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</si>
  <si>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</si>
  <si>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</si>
  <si>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</si>
  <si>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</si>
  <si>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</si>
  <si>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</si>
  <si>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</si>
  <si>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</si>
  <si>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</si>
  <si>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</si>
  <si>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</si>
  <si>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</si>
  <si>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</si>
  <si>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</si>
  <si>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</si>
  <si>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</si>
  <si>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</si>
  <si>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</si>
  <si>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</si>
  <si>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</si>
  <si>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</si>
  <si>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</si>
  <si>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</si>
  <si>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</si>
  <si>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</si>
  <si>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</si>
  <si>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</si>
  <si>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</si>
  <si>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</si>
  <si>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</si>
  <si>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</si>
  <si>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</si>
  <si>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</si>
  <si>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</si>
  <si>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</si>
  <si>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</si>
  <si>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</si>
  <si>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</si>
  <si>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</si>
  <si>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</si>
  <si>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</si>
  <si>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</si>
  <si>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</si>
  <si>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</si>
  <si>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</si>
  <si>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</si>
  <si>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</si>
  <si>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</si>
  <si>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</si>
  <si>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</si>
  <si>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</si>
  <si>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</si>
  <si>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</si>
  <si>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</si>
  <si>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</si>
  <si>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</si>
  <si>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</si>
  <si>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</si>
  <si>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</si>
  <si>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</si>
  <si>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</si>
  <si>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</si>
  <si>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</si>
  <si>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</si>
  <si>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</si>
  <si>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</si>
  <si>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</si>
  <si>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</si>
  <si>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</si>
  <si>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</si>
  <si>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</si>
  <si>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</si>
  <si>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</si>
  <si>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</si>
  <si>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</si>
  <si>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</si>
  <si>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</si>
  <si>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</si>
  <si>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</si>
  <si>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</si>
  <si>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</si>
  <si>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</si>
  <si>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</si>
  <si>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</si>
  <si>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</si>
  <si>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</si>
  <si>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</si>
  <si>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</si>
  <si>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</si>
  <si>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</si>
  <si>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</si>
  <si>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</si>
  <si>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</si>
  <si>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</si>
  <si>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</si>
  <si>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</si>
  <si>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</si>
  <si>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</si>
  <si>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</si>
  <si>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</si>
  <si>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</si>
  <si>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</si>
  <si>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</si>
  <si>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</si>
  <si>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</si>
  <si>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</si>
  <si>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</si>
  <si>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</si>
  <si>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</si>
  <si>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</si>
  <si>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</si>
  <si>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Prototype Candidate Chain</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</si>
  <si>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</si>
  <si>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</si>
  <si>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</si>
  <si>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</si>
  <si>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</si>
  <si>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</si>
  <si>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</si>
  <si>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All published engines use player-safe Coach paths</t>
  </si>
  <si>
    <t>Four standard wrappers plus Master shared-chain fallback contract</t>
  </si>
  <si>
    <t>Pointing-column step exposes structured action fields</t>
  </si>
  <si>
    <t>Duplicate forced singles in a row are contradictory</t>
  </si>
  <si>
    <t>Two empty cells in row 1 are both forced to digit 1</t>
  </si>
  <si>
    <t>Duplicate forced singles in a column are contradictory</t>
  </si>
  <si>
    <t>Two empty cells in column 1 are both forced to digit 1</t>
  </si>
  <si>
    <t>Duplicate forced singles in a box are contradictory</t>
  </si>
  <si>
    <t>R1C1 and R2C2 force digit 1 in the same box only</t>
  </si>
  <si>
    <t>Separated forced singles remain viable</t>
  </si>
  <si>
    <t>R1C1 and R4C4 do not share a row, column or box</t>
  </si>
  <si>
    <t>No-op elimination must not count as chain progress</t>
  </si>
  <si>
    <t>Removing absent digit 9 leaves R1C1 candidates 12</t>
  </si>
  <si>
    <t>Effective elimination counts as chain progress</t>
  </si>
  <si>
    <t>Removing digit 1 changes R1C1 candidates 12 to 2</t>
  </si>
  <si>
    <t>Candidate expansion must not count as progress</t>
  </si>
  <si>
    <t>Growing R1C1 from 12 to 123 cannot continue the chain</t>
  </si>
  <si>
    <t>Claiming-row step exposes structured action fields</t>
  </si>
  <si>
    <t>Structured Claiming-row apply ignores display wording</t>
  </si>
  <si>
    <t>Digit and target fields, not prose, remove 3 from R3C7</t>
  </si>
  <si>
    <t>Claiming-row public wording remains compatible</t>
  </si>
  <si>
    <t>Public wrapper returns structured field 5</t>
  </si>
  <si>
    <t>Claiming-column step exposes structured action fields</t>
  </si>
  <si>
    <t>Structured Claiming-column apply ignores display wording</t>
  </si>
  <si>
    <t>Digit and target fields, not prose, remove 3 from R7C3</t>
  </si>
  <si>
    <t>Claiming-column public wording remains compatible</t>
  </si>
  <si>
    <t>Naked-pair-row step exposes structured action fields</t>
  </si>
  <si>
    <t>Pair sources, digits, target and display text stay separate</t>
  </si>
  <si>
    <t>Structured naked-pair-row apply ignores wording</t>
  </si>
  <si>
    <t>Pair digits and target remove 4/7 from R4C7</t>
  </si>
  <si>
    <t>Naked-pair-row public wording remains compatible</t>
  </si>
  <si>
    <t>Old entry returns structured display field</t>
  </si>
  <si>
    <t>Three matching pairs do not form a naked pair</t>
  </si>
  <si>
    <t>Exactly two matching cells are required</t>
  </si>
  <si>
    <t>Naked-pair-column step exposes structured action fields</t>
  </si>
  <si>
    <t>Structured naked-pair-column apply ignores wording</t>
  </si>
  <si>
    <t>Pair digits and target remove 4/7 from R7C6</t>
  </si>
  <si>
    <t>Naked-pair-column public wording remains compatible</t>
  </si>
  <si>
    <t>Three matching column pairs do not form a naked pair</t>
  </si>
  <si>
    <t>Existing naked-pair-box wording maps off-diagonal cells</t>
  </si>
  <si>
    <t>Pair sources and target are mapped in row order</t>
  </si>
  <si>
    <t>Naked-pair-box step exposes structured action fields</t>
  </si>
  <si>
    <t>Off-diagonal source pair and target stay separate</t>
  </si>
  <si>
    <t>Structured naked-pair-box apply ignores wording</t>
  </si>
  <si>
    <t>Pair digits remove 4/7 from R3C1</t>
  </si>
  <si>
    <t>Naked-pair-box public wording remains compatible</t>
  </si>
  <si>
    <t>Legacy entry returns the structured display field</t>
  </si>
  <si>
    <t>Three matching box pairs do not form a naked pair</t>
  </si>
  <si>
    <t>Exactly two matching box cells are required</t>
  </si>
  <si>
    <t>Naked-pair-box step preserves middle-box identity</t>
  </si>
  <si>
    <t>Box 5 maps off-diagonal pair to R6C4</t>
  </si>
  <si>
    <t>Chain uses box elimination before the next assignment</t>
  </si>
  <si>
    <t>Box pair removes 4/7 then reveals R3C1=8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</si>
</sst>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6" fillId="0" borderId="34" xfId="0" applyFont="1" applyBorder="1">
      <alignment vertical="center"/>
    </xf>
    <xf numFmtId="0" fontId="44" fillId="0" borderId="34" xfId="0" applyFont="1" applyBorder="1">
      <alignment vertical="center"/>
    </xf>
    <xf numFmtId="0" fontId="46" fillId="0" borderId="35" xfId="0" applyFont="1" applyBorder="1">
      <alignment vertical="center"/>
    </xf>
    <xf numFmtId="0" fontId="44" fillId="0" borderId="35" xfId="0" applyFont="1" applyBorder="1">
      <alignment vertical="center"/>
    </xf>
    <xf numFmtId="0" fontId="11" fillId="2" borderId="0" xfId="0" applyFont="1" applyFill="1" applyAlignment="1">
      <alignment horizontal="left" vertical="center" indent="1"/>
    </xf>
    <xf numFmtId="0" fontId="46" fillId="0" borderId="0" xfId="0" applyFont="1">
      <alignment vertical="center"/>
    </xf>
    <xf numFmtId="0" fontId="44" fillId="0" borderId="0" xfId="0" applyFont="1">
      <alignment vertical="center"/>
    </xf>
    <xf numFmtId="176" fontId="49" fillId="0" borderId="35" xfId="1" applyNumberFormat="1" applyFont="1" applyBorder="1">
      <alignment vertical="center"/>
    </xf>
    <xf numFmtId="0" fontId="44" fillId="0" borderId="0" xfId="0" applyFont="1" applyAlignment="1">
      <alignment vertical="top" indent="1"/>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42" fillId="0" borderId="0" xfId="0" applyFont="1">
      <alignment vertical="center"/>
    </xf>
    <xf numFmtId="0" fontId="43" fillId="0" borderId="0" xfId="0" applyFont="1">
      <alignment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0" fillId="0" borderId="0" xfId="1" applyFont="1" applyBorder="1">
      <alignment vertical="center"/>
    </xf>
    <xf numFmtId="0" fontId="41"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9" fillId="0" borderId="35" xfId="1" applyFont="1" applyBorder="1">
      <alignment vertical="center"/>
    </xf>
    <xf numFmtId="0" fontId="45" fillId="0" borderId="0" xfId="0" applyFont="1" applyAlignment="1">
      <alignment vertical="top" indent="1"/>
    </xf>
    <xf numFmtId="0" fontId="46" fillId="0" borderId="0" xfId="0" applyFont="1" applyAlignment="1">
      <alignment vertical="top" indent="1"/>
    </xf>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1" fillId="0" borderId="0" xfId="0" applyFont="1" applyAlignment="1"/>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7" fillId="0" borderId="0" xfId="0" applyFont="1" applyAlignment="1">
      <alignment vertical="top" indent="1"/>
    </xf>
    <xf numFmtId="0" fontId="48" fillId="0" borderId="0" xfId="0" applyFont="1" applyAlignment="1">
      <alignment vertical="top" inden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6" fillId="0" borderId="0" xfId="0" applyFont="1" applyAlignment="1">
      <alignment horizontal="left" vertical="center" wrapText="1"/>
    </xf>
    <xf numFmtId="0" fontId="15" fillId="0" borderId="13" xfId="0" applyFont="1" applyBorder="1" applyAlignment="1">
      <alignment horizontal="left" vertical="center"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12" xfId="0" applyFont="1" applyBorder="1" applyAlignment="1">
      <alignment horizontal="left" vertical="center" wrapTex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26503BE-2C21-094A-90D1-6A331FD31723}">
  <we:reference id="wa200010215" version="2.0.0.0" store="en-US" storeType="OMEX"/>
  <we:alternateReferences>
    <we:reference id="WA200010215" version="2.0.0.0" store="" storeType="OMEX"/>
  </we:alternateReferences>
  <we:properties>
    <we:property name="bps.codex_control.document_id" value="&quot;d2756971-ce80-4bd8-b71b-58d5c4d6254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95" t="s">
        <v>550</v>
      </c>
      <c r="B1" s="96"/>
      <c r="C1" s="96"/>
      <c r="D1" s="96"/>
      <c r="E1" s="96"/>
      <c r="F1" s="96"/>
      <c r="G1" s="96"/>
      <c r="H1" s="96"/>
      <c r="I1" s="96"/>
      <c r="J1" s="96"/>
    </row>
    <row r="2" spans="1:10" ht="24" customHeight="1">
      <c r="A2" s="97" t="s">
        <v>570</v>
      </c>
      <c r="B2" s="97"/>
      <c r="C2" s="97"/>
      <c r="D2" s="97"/>
      <c r="E2" s="97"/>
      <c r="F2" s="97"/>
      <c r="G2" s="97"/>
      <c r="H2" s="97"/>
      <c r="I2" s="97"/>
      <c r="J2" s="97"/>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5" t="str">
        <f>HYPERLINK("#'01 Easy'!B1","01 EASY")</f>
        <v>01 EASY</v>
      </c>
      <c r="B5" s="86"/>
      <c r="C5" s="86"/>
      <c r="D5" s="80" t="s">
        <v>167</v>
      </c>
      <c r="E5" s="80"/>
      <c r="F5" s="87" t="s">
        <v>168</v>
      </c>
      <c r="G5" s="87"/>
      <c r="H5" s="87"/>
      <c r="I5" s="87"/>
      <c r="J5" s="87"/>
    </row>
    <row r="6" spans="1:10" ht="25" customHeight="1">
      <c r="A6" s="88" t="str">
        <f>HYPERLINK("#'02 Medium'!B1","02 MEDIUM")</f>
        <v>02 MEDIUM</v>
      </c>
      <c r="B6" s="89"/>
      <c r="C6" s="89"/>
      <c r="D6" s="90" t="s">
        <v>169</v>
      </c>
      <c r="E6" s="90"/>
      <c r="F6" s="91" t="s">
        <v>170</v>
      </c>
      <c r="G6" s="91"/>
      <c r="H6" s="91"/>
      <c r="I6" s="91"/>
      <c r="J6" s="91"/>
    </row>
    <row r="7" spans="1:10" ht="25" customHeight="1">
      <c r="A7" s="88" t="str">
        <f>HYPERLINK("#'03 Hard'!B1","03 HARD")</f>
        <v>03 HARD</v>
      </c>
      <c r="B7" s="89"/>
      <c r="C7" s="89"/>
      <c r="D7" s="90" t="s">
        <v>171</v>
      </c>
      <c r="E7" s="90"/>
      <c r="F7" s="91" t="s">
        <v>172</v>
      </c>
      <c r="G7" s="91"/>
      <c r="H7" s="91"/>
      <c r="I7" s="91"/>
      <c r="J7" s="91"/>
    </row>
    <row r="8" spans="1:10" ht="25" customHeight="1">
      <c r="A8" s="88" t="str">
        <f>HYPERLINK("#'04 Expert'!B1","04 EXPERT")</f>
        <v>04 EXPERT</v>
      </c>
      <c r="B8" s="89"/>
      <c r="C8" s="89"/>
      <c r="D8" s="90" t="s">
        <v>173</v>
      </c>
      <c r="E8" s="90"/>
      <c r="F8" s="91" t="s">
        <v>174</v>
      </c>
      <c r="G8" s="91"/>
      <c r="H8" s="91"/>
      <c r="I8" s="91"/>
      <c r="J8" s="91"/>
    </row>
    <row r="9" spans="1:10" ht="25" customHeight="1">
      <c r="A9" s="99" t="str">
        <f>HYPERLINK("#'05 Master'!B1","05 MASTER")</f>
        <v>05 MASTER</v>
      </c>
      <c r="B9" s="100"/>
      <c r="C9" s="100"/>
      <c r="D9" s="101" t="s">
        <v>175</v>
      </c>
      <c r="E9" s="101"/>
      <c r="F9" s="102" t="s">
        <v>176</v>
      </c>
      <c r="G9" s="102"/>
      <c r="H9" s="102"/>
      <c r="I9" s="102"/>
      <c r="J9" s="102"/>
    </row>
    <row r="10" spans="1:10" ht="20" customHeight="1">
      <c r="A10" s="72" t="s">
        <v>581</v>
      </c>
      <c r="B10" s="72"/>
      <c r="C10" s="72"/>
      <c r="D10" s="72"/>
      <c r="E10" s="72"/>
      <c r="F10" s="72"/>
      <c r="G10" s="72"/>
      <c r="H10" s="72"/>
      <c r="I10" s="72"/>
      <c r="J10" s="72"/>
    </row>
    <row r="11" spans="1:10" ht="30" customHeight="1">
      <c r="A11" s="76" t="s">
        <v>582</v>
      </c>
      <c r="B11" s="76"/>
      <c r="C11" s="76"/>
      <c r="D11" s="76"/>
      <c r="E11" s="76"/>
      <c r="F11" s="76"/>
      <c r="G11" s="76"/>
      <c r="H11" s="76"/>
      <c r="I11" s="76"/>
      <c r="J11" s="76"/>
    </row>
    <row r="12" spans="1:10" ht="20" customHeight="1">
      <c r="A12" s="72" t="s">
        <v>177</v>
      </c>
      <c r="B12" s="72"/>
      <c r="C12" s="72"/>
      <c r="D12" s="72"/>
      <c r="E12" s="72"/>
      <c r="F12" s="72"/>
      <c r="G12" s="72"/>
      <c r="H12" s="72"/>
      <c r="I12" s="72"/>
      <c r="J12" s="72"/>
    </row>
    <row r="13" spans="1:10" ht="20" customHeight="1">
      <c r="A13" s="98" t="s">
        <v>178</v>
      </c>
      <c r="B13" s="98"/>
      <c r="C13" s="98"/>
      <c r="D13" s="98"/>
      <c r="E13" s="98"/>
      <c r="F13" s="98"/>
      <c r="G13" s="98"/>
      <c r="H13" s="98"/>
      <c r="I13" s="98"/>
      <c r="J13" s="98"/>
    </row>
    <row r="14" spans="1:10" ht="26" customHeight="1">
      <c r="A14" s="76" t="s">
        <v>554</v>
      </c>
      <c r="B14" s="76"/>
      <c r="C14" s="76"/>
      <c r="D14" s="76"/>
      <c r="E14" s="76"/>
      <c r="F14" s="76"/>
      <c r="G14" s="76"/>
      <c r="H14" s="76"/>
      <c r="I14" s="76"/>
      <c r="J14" s="76"/>
    </row>
    <row r="15" spans="1:10" ht="20" customHeight="1">
      <c r="A15" s="98" t="s">
        <v>179</v>
      </c>
      <c r="B15" s="98"/>
      <c r="C15" s="98"/>
      <c r="D15" s="98"/>
      <c r="E15" s="98"/>
      <c r="F15" s="98"/>
      <c r="G15" s="98"/>
      <c r="H15" s="98"/>
      <c r="I15" s="98"/>
      <c r="J15" s="98"/>
    </row>
    <row r="16" spans="1:10" ht="26" customHeight="1">
      <c r="A16" s="76" t="s">
        <v>555</v>
      </c>
      <c r="B16" s="76"/>
      <c r="C16" s="76"/>
      <c r="D16" s="76"/>
      <c r="E16" s="76"/>
      <c r="F16" s="76"/>
      <c r="G16" s="76"/>
      <c r="H16" s="76"/>
      <c r="I16" s="76"/>
      <c r="J16" s="76"/>
    </row>
    <row r="17" spans="1:10" ht="20" customHeight="1">
      <c r="A17" s="98" t="s">
        <v>180</v>
      </c>
      <c r="B17" s="98"/>
      <c r="C17" s="98"/>
      <c r="D17" s="98"/>
      <c r="E17" s="98"/>
      <c r="F17" s="98"/>
      <c r="G17" s="98"/>
      <c r="H17" s="98"/>
      <c r="I17" s="98"/>
      <c r="J17" s="98"/>
    </row>
    <row r="18" spans="1:10" ht="30" customHeight="1">
      <c r="A18" s="76" t="s">
        <v>583</v>
      </c>
      <c r="B18" s="93"/>
      <c r="C18" s="93"/>
      <c r="D18" s="93"/>
      <c r="E18" s="93"/>
      <c r="F18" s="93"/>
      <c r="G18" s="93"/>
      <c r="H18" s="93"/>
      <c r="I18" s="93"/>
      <c r="J18" s="93"/>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94" t="s">
        <v>571</v>
      </c>
      <c r="B21" s="94"/>
      <c r="C21" s="94"/>
      <c r="D21" s="94"/>
      <c r="E21" s="94"/>
      <c r="F21" s="94"/>
      <c r="G21" s="94"/>
      <c r="H21" s="94"/>
      <c r="I21" s="94"/>
      <c r="J21" s="94"/>
    </row>
    <row r="22" spans="1:10" ht="22" customHeight="1">
      <c r="A22" s="94" t="s">
        <v>572</v>
      </c>
      <c r="B22" s="94"/>
      <c r="C22" s="94"/>
      <c r="D22" s="94"/>
      <c r="E22" s="94"/>
      <c r="F22" s="94"/>
      <c r="G22" s="94"/>
      <c r="H22" s="94"/>
      <c r="I22" s="94"/>
      <c r="J22" s="94"/>
    </row>
    <row r="23" spans="1:10" ht="22" customHeight="1">
      <c r="A23" s="76" t="s">
        <v>573</v>
      </c>
      <c r="B23" s="93"/>
      <c r="C23" s="93"/>
      <c r="D23" s="93"/>
      <c r="E23" s="93"/>
      <c r="F23" s="93"/>
      <c r="G23" s="93"/>
      <c r="H23" s="93"/>
      <c r="I23" s="93"/>
      <c r="J23" s="93"/>
    </row>
    <row r="24" spans="1:10" ht="22" customHeight="1">
      <c r="A24" s="76" t="s">
        <v>574</v>
      </c>
      <c r="B24" s="93"/>
      <c r="C24" s="93"/>
      <c r="D24" s="93"/>
      <c r="E24" s="93"/>
      <c r="F24" s="93"/>
      <c r="G24" s="93"/>
      <c r="H24" s="93"/>
      <c r="I24" s="93"/>
      <c r="J24" s="93"/>
    </row>
    <row r="25" spans="1:10" ht="22" customHeight="1">
      <c r="A25" s="76" t="s">
        <v>575</v>
      </c>
      <c r="B25" s="93"/>
      <c r="C25" s="93"/>
      <c r="D25" s="93"/>
      <c r="E25" s="93"/>
      <c r="F25" s="93"/>
      <c r="G25" s="93"/>
      <c r="H25" s="93"/>
      <c r="I25" s="93"/>
      <c r="J25" s="93"/>
    </row>
    <row r="26" spans="1:10" ht="28" customHeight="1">
      <c r="A26" s="76" t="s">
        <v>576</v>
      </c>
      <c r="B26" s="93"/>
      <c r="C26" s="93"/>
      <c r="D26" s="93"/>
      <c r="E26" s="93"/>
      <c r="F26" s="93"/>
      <c r="G26" s="93"/>
      <c r="H26" s="93"/>
      <c r="I26" s="93"/>
      <c r="J26" s="93"/>
    </row>
    <row r="27" spans="1:10" ht="34" customHeight="1">
      <c r="A27" s="103" t="s">
        <v>556</v>
      </c>
      <c r="B27" s="104"/>
      <c r="C27" s="104"/>
      <c r="D27" s="104"/>
      <c r="E27" s="104"/>
      <c r="F27" s="104"/>
      <c r="G27" s="104"/>
      <c r="H27" s="104"/>
      <c r="I27" s="104"/>
      <c r="J27" s="104"/>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76" t="s">
        <v>557</v>
      </c>
      <c r="B30" s="76"/>
      <c r="C30" s="76"/>
      <c r="D30" s="76"/>
      <c r="E30" s="76"/>
      <c r="F30" s="76"/>
      <c r="G30" s="76"/>
      <c r="H30" s="76"/>
      <c r="I30" s="76"/>
      <c r="J30" s="76"/>
    </row>
    <row r="31" spans="1:10" ht="24" customHeight="1">
      <c r="A31" s="76" t="s">
        <v>558</v>
      </c>
      <c r="B31" s="76"/>
      <c r="C31" s="76"/>
      <c r="D31" s="76"/>
      <c r="E31" s="76"/>
      <c r="F31" s="76"/>
      <c r="G31" s="76"/>
      <c r="H31" s="76"/>
      <c r="I31" s="76"/>
      <c r="J31" s="76"/>
    </row>
    <row r="32" spans="1:10" ht="24" customHeight="1">
      <c r="A32" s="76" t="s">
        <v>559</v>
      </c>
      <c r="B32" s="76"/>
      <c r="C32" s="76"/>
      <c r="D32" s="76"/>
      <c r="E32" s="76"/>
      <c r="F32" s="76"/>
      <c r="G32" s="76"/>
      <c r="H32" s="76"/>
      <c r="I32" s="76"/>
      <c r="J32" s="76"/>
    </row>
    <row r="33" spans="1:10" ht="24" customHeight="1">
      <c r="A33" s="76" t="s">
        <v>560</v>
      </c>
      <c r="B33" s="93"/>
      <c r="C33" s="93"/>
      <c r="D33" s="93"/>
      <c r="E33" s="93"/>
      <c r="F33" s="93"/>
      <c r="G33" s="93"/>
      <c r="H33" s="93"/>
      <c r="I33" s="93"/>
      <c r="J33" s="93"/>
    </row>
    <row r="34" spans="1:10" ht="30" customHeight="1">
      <c r="A34" s="76" t="s">
        <v>561</v>
      </c>
      <c r="B34" s="93"/>
      <c r="C34" s="93"/>
      <c r="D34" s="93"/>
      <c r="E34" s="93"/>
      <c r="F34" s="93"/>
      <c r="G34" s="93"/>
      <c r="H34" s="93"/>
      <c r="I34" s="93"/>
      <c r="J34" s="93"/>
    </row>
    <row r="35" spans="1:10" ht="30" customHeight="1">
      <c r="A35" s="76" t="s">
        <v>562</v>
      </c>
      <c r="B35" s="93"/>
      <c r="C35" s="93"/>
      <c r="D35" s="93"/>
      <c r="E35" s="93"/>
      <c r="F35" s="93"/>
      <c r="G35" s="93"/>
      <c r="H35" s="93"/>
      <c r="I35" s="93"/>
      <c r="J35" s="93"/>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73" t="s">
        <v>184</v>
      </c>
      <c r="B38" s="73"/>
      <c r="C38" s="73"/>
      <c r="D38" s="74" t="s">
        <v>185</v>
      </c>
      <c r="E38" s="74"/>
      <c r="F38" s="74"/>
      <c r="G38" s="74"/>
      <c r="H38" s="74"/>
      <c r="I38" s="74"/>
      <c r="J38" s="74"/>
    </row>
    <row r="39" spans="1:10" ht="24" customHeight="1">
      <c r="A39" s="70" t="s">
        <v>186</v>
      </c>
      <c r="B39" s="70"/>
      <c r="C39" s="70"/>
      <c r="D39" s="92" t="str">
        <f>HYPERLINK("#'Formula Reference'!A1","Human-readable formula architecture")</f>
        <v>Human-readable formula architecture</v>
      </c>
      <c r="E39" s="71"/>
      <c r="F39" s="71"/>
      <c r="G39" s="71"/>
      <c r="H39" s="71"/>
      <c r="I39" s="71"/>
      <c r="J39" s="71"/>
    </row>
    <row r="40" spans="1:10" ht="24" customHeight="1">
      <c r="A40" s="70" t="s">
        <v>187</v>
      </c>
      <c r="B40" s="70"/>
      <c r="C40" s="70"/>
      <c r="D40" s="71" t="s">
        <v>577</v>
      </c>
      <c r="E40" s="71"/>
      <c r="F40" s="71"/>
      <c r="G40" s="71"/>
      <c r="H40" s="71"/>
      <c r="I40" s="71"/>
      <c r="J40" s="71"/>
    </row>
    <row r="41" spans="1:10" ht="24" customHeight="1">
      <c r="A41" s="70" t="s">
        <v>188</v>
      </c>
      <c r="B41" s="70"/>
      <c r="C41" s="70"/>
      <c r="D41" s="71" t="s">
        <v>189</v>
      </c>
      <c r="E41" s="71"/>
      <c r="F41" s="71"/>
      <c r="G41" s="71"/>
      <c r="H41" s="71"/>
      <c r="I41" s="71"/>
      <c r="J41" s="71"/>
    </row>
    <row r="42" spans="1:10" ht="26" customHeight="1">
      <c r="A42" s="68" t="s">
        <v>190</v>
      </c>
      <c r="B42" s="68"/>
      <c r="C42" s="68"/>
      <c r="D42" s="69" t="s">
        <v>584</v>
      </c>
      <c r="E42" s="69"/>
      <c r="F42" s="69"/>
      <c r="G42" s="69"/>
      <c r="H42" s="69"/>
      <c r="I42" s="69"/>
      <c r="J42" s="69"/>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0" t="s">
        <v>552</v>
      </c>
      <c r="B45" s="81"/>
      <c r="C45" s="81"/>
      <c r="D45" s="77" t="str">
        <f ca="1">COUNTIF(_Tests!$E:$E,"PASS")&amp;" checks passing · "&amp;COUNTIF(_Tests!$E:$E,"SKIP")&amp;" on demand"</f>
        <v>125 checks passing · 18 on demand</v>
      </c>
      <c r="E45" s="78"/>
      <c r="F45" s="78"/>
      <c r="G45" s="78"/>
      <c r="H45" s="78"/>
      <c r="I45" s="78"/>
      <c r="J45" s="79"/>
    </row>
    <row r="46" spans="1:10" ht="30" customHeight="1">
      <c r="A46" s="80" t="s">
        <v>553</v>
      </c>
      <c r="B46" s="81"/>
      <c r="C46" s="81"/>
      <c r="D46" s="82" t="s">
        <v>425</v>
      </c>
      <c r="E46" s="83"/>
      <c r="F46" s="83"/>
      <c r="G46" s="83"/>
      <c r="H46" s="83"/>
      <c r="I46" s="83"/>
      <c r="J46" s="84"/>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76" t="s">
        <v>563</v>
      </c>
      <c r="B49" s="76"/>
      <c r="C49" s="76"/>
      <c r="D49" s="76"/>
      <c r="E49" s="76"/>
      <c r="F49" s="76"/>
      <c r="G49" s="76"/>
      <c r="H49" s="76"/>
      <c r="I49" s="76"/>
      <c r="J49" s="76"/>
    </row>
    <row r="50" spans="1:10" ht="26" customHeight="1">
      <c r="A50" s="76" t="s">
        <v>564</v>
      </c>
      <c r="B50" s="76"/>
      <c r="C50" s="76"/>
      <c r="D50" s="76"/>
      <c r="E50" s="76"/>
      <c r="F50" s="76"/>
      <c r="G50" s="76"/>
      <c r="H50" s="76"/>
      <c r="I50" s="76"/>
      <c r="J50" s="76"/>
    </row>
    <row r="51" spans="1:10" ht="34" customHeight="1">
      <c r="A51" s="76" t="s">
        <v>565</v>
      </c>
      <c r="B51" s="76"/>
      <c r="C51" s="76"/>
      <c r="D51" s="76"/>
      <c r="E51" s="76"/>
      <c r="F51" s="76"/>
      <c r="G51" s="76"/>
      <c r="H51" s="76"/>
      <c r="I51" s="76"/>
      <c r="J51" s="76"/>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73" t="s">
        <v>586</v>
      </c>
      <c r="B54" s="73"/>
      <c r="C54" s="73"/>
      <c r="D54" s="74" t="s">
        <v>587</v>
      </c>
      <c r="E54" s="74"/>
      <c r="F54" s="74"/>
      <c r="G54" s="74"/>
      <c r="H54" s="74"/>
      <c r="I54" s="74"/>
      <c r="J54" s="74"/>
    </row>
    <row r="55" spans="1:10" ht="24" customHeight="1">
      <c r="A55" s="70" t="s">
        <v>588</v>
      </c>
      <c r="B55" s="70"/>
      <c r="C55" s="70"/>
      <c r="D55" s="75">
        <f>DATE(2026,7,27)</f>
        <v>46230</v>
      </c>
      <c r="E55" s="71"/>
      <c r="F55" s="71"/>
      <c r="G55" s="71"/>
      <c r="H55" s="71"/>
      <c r="I55" s="71"/>
      <c r="J55" s="71"/>
    </row>
    <row r="56" spans="1:10" ht="24" customHeight="1">
      <c r="A56" s="70" t="s">
        <v>589</v>
      </c>
      <c r="B56" s="70"/>
      <c r="C56" s="70"/>
      <c r="D56" s="71" t="s">
        <v>590</v>
      </c>
      <c r="E56" s="71"/>
      <c r="F56" s="71"/>
      <c r="G56" s="71"/>
      <c r="H56" s="71"/>
      <c r="I56" s="71"/>
      <c r="J56" s="71"/>
    </row>
    <row r="57" spans="1:10" ht="24" customHeight="1">
      <c r="A57" s="70" t="s">
        <v>591</v>
      </c>
      <c r="B57" s="70"/>
      <c r="C57" s="70"/>
      <c r="D57" s="71" t="s">
        <v>592</v>
      </c>
      <c r="E57" s="71"/>
      <c r="F57" s="71"/>
      <c r="G57" s="71"/>
      <c r="H57" s="71"/>
      <c r="I57" s="71"/>
      <c r="J57" s="71"/>
    </row>
    <row r="58" spans="1:10" ht="30" customHeight="1">
      <c r="A58" s="68" t="s">
        <v>593</v>
      </c>
      <c r="B58" s="68"/>
      <c r="C58" s="68"/>
      <c r="D58" s="69" t="s">
        <v>594</v>
      </c>
      <c r="E58" s="69"/>
      <c r="F58" s="69"/>
      <c r="G58" s="69"/>
      <c r="H58" s="69"/>
      <c r="I58" s="69"/>
      <c r="J58" s="69"/>
    </row>
    <row r="59" spans="1:10" ht="30" customHeight="1">
      <c r="A59" s="68" t="s">
        <v>595</v>
      </c>
      <c r="B59" s="68"/>
      <c r="C59" s="68"/>
      <c r="D59" s="69" t="s">
        <v>596</v>
      </c>
      <c r="E59" s="69"/>
      <c r="F59" s="69"/>
      <c r="G59" s="69"/>
      <c r="H59" s="69"/>
      <c r="I59" s="69"/>
      <c r="J59" s="69"/>
    </row>
  </sheetData>
  <mergeCells count="75">
    <mergeCell ref="A25:J25"/>
    <mergeCell ref="A26:J26"/>
    <mergeCell ref="A27:J27"/>
    <mergeCell ref="A29:J29"/>
    <mergeCell ref="A15:J15"/>
    <mergeCell ref="A16:J16"/>
    <mergeCell ref="A17:J17"/>
    <mergeCell ref="A18:J18"/>
    <mergeCell ref="A24:J24"/>
    <mergeCell ref="A1:J1"/>
    <mergeCell ref="A2:J2"/>
    <mergeCell ref="A4:J4"/>
    <mergeCell ref="A12:J12"/>
    <mergeCell ref="A13:J13"/>
    <mergeCell ref="A9:C9"/>
    <mergeCell ref="D9:E9"/>
    <mergeCell ref="F9:J9"/>
    <mergeCell ref="A10:J10"/>
    <mergeCell ref="A11:J11"/>
    <mergeCell ref="A14:J14"/>
    <mergeCell ref="A20:J20"/>
    <mergeCell ref="A21:J21"/>
    <mergeCell ref="A22:J22"/>
    <mergeCell ref="A23:J23"/>
    <mergeCell ref="A38:C38"/>
    <mergeCell ref="D38:J38"/>
    <mergeCell ref="A39:C39"/>
    <mergeCell ref="D39:J39"/>
    <mergeCell ref="A30:J30"/>
    <mergeCell ref="A31:J31"/>
    <mergeCell ref="A32:J32"/>
    <mergeCell ref="A33:J33"/>
    <mergeCell ref="A34:J34"/>
    <mergeCell ref="A35:J35"/>
    <mergeCell ref="A37:J37"/>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48:J48"/>
    <mergeCell ref="A49:J49"/>
    <mergeCell ref="D45:J45"/>
    <mergeCell ref="A46:C46"/>
    <mergeCell ref="D46:J46"/>
    <mergeCell ref="A40:C40"/>
    <mergeCell ref="D40:J40"/>
    <mergeCell ref="A41:C41"/>
    <mergeCell ref="D41:J41"/>
    <mergeCell ref="A42:C42"/>
    <mergeCell ref="D42:J42"/>
    <mergeCell ref="A53:J53"/>
    <mergeCell ref="A54:C54"/>
    <mergeCell ref="D54:J54"/>
    <mergeCell ref="A55:C55"/>
    <mergeCell ref="D55:J55"/>
    <mergeCell ref="A59:C59"/>
    <mergeCell ref="D59:J59"/>
    <mergeCell ref="A56:C56"/>
    <mergeCell ref="D56:J56"/>
    <mergeCell ref="A57:C57"/>
    <mergeCell ref="D57:J57"/>
    <mergeCell ref="A58:C58"/>
    <mergeCell ref="D58:J5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545</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152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15" t="s">
        <v>153</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12"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09">
        <f>81-COUNT(_Engine!$B$3:$J$11)</f>
        <v>51</v>
      </c>
      <c r="AN8" s="109"/>
      <c r="AO8" s="109"/>
      <c r="AP8" s="109"/>
      <c r="AQ8" s="109"/>
      <c r="AR8" s="109"/>
      <c r="AS8" s="109"/>
      <c r="AT8" s="9"/>
      <c r="AU8" s="111">
        <f>COUNTIF(_Engine!$B$51:$J$59,TRUE)</f>
        <v>0</v>
      </c>
      <c r="AV8" s="111"/>
      <c r="AW8" s="111"/>
      <c r="AX8" s="111"/>
      <c r="AY8" s="111"/>
      <c r="AZ8" s="111"/>
      <c r="BA8" s="111"/>
      <c r="BB8" s="9"/>
      <c r="BC8" s="112" t="s">
        <v>149</v>
      </c>
      <c r="BD8" s="112"/>
      <c r="BE8" s="112"/>
      <c r="BF8" s="112"/>
      <c r="BG8" s="112"/>
      <c r="BH8" s="112"/>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05" t="s">
        <v>148</v>
      </c>
      <c r="AN10" s="105"/>
      <c r="AO10" s="105"/>
      <c r="AP10" s="105"/>
      <c r="AQ10" s="105"/>
      <c r="AR10" s="105"/>
      <c r="AS10" s="72"/>
      <c r="AT10" s="72"/>
      <c r="AU10" s="72"/>
      <c r="AV10" s="72"/>
      <c r="AW10" s="72"/>
      <c r="AX10" s="72"/>
      <c r="AY10" s="72"/>
      <c r="AZ10" s="72"/>
      <c r="BA10" s="105"/>
      <c r="BB10" s="105"/>
      <c r="BC10" s="105"/>
      <c r="BD10" s="105"/>
      <c r="BE10" s="105"/>
      <c r="BF10" s="105"/>
      <c r="BG10" s="105"/>
      <c r="BH10" s="105"/>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06" t="s">
        <v>154</v>
      </c>
      <c r="AN11" s="106"/>
      <c r="AO11" s="106"/>
      <c r="AP11" s="106"/>
      <c r="AQ11" s="106"/>
      <c r="AR11" s="56"/>
      <c r="AS11" s="107" t="s">
        <v>40</v>
      </c>
      <c r="AT11" s="107"/>
      <c r="AU11" s="107"/>
      <c r="AV11" s="107"/>
      <c r="AW11" s="107"/>
      <c r="AX11" s="107"/>
      <c r="AY11" s="107"/>
      <c r="AZ11" s="107"/>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08"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M8:AS9"/>
    <mergeCell ref="AU7:BA7"/>
    <mergeCell ref="AU8:BA9"/>
    <mergeCell ref="BC7:BH7"/>
    <mergeCell ref="BC8:BH9"/>
    <mergeCell ref="AM10:BH10"/>
    <mergeCell ref="AM11:AQ11"/>
    <mergeCell ref="AS11:AZ11"/>
    <mergeCell ref="AM12:BH15"/>
    <mergeCell ref="AM16:BH16"/>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546</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162</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12"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09">
        <f>81-COUNT('_Engine Medium'!$B$3:$J$11)</f>
        <v>45</v>
      </c>
      <c r="AN8" s="109"/>
      <c r="AO8" s="109"/>
      <c r="AP8" s="109"/>
      <c r="AQ8" s="109"/>
      <c r="AR8" s="109"/>
      <c r="AS8" s="109"/>
      <c r="AT8" s="9"/>
      <c r="AU8" s="111">
        <f>COUNTIF('_Engine Medium'!$B$51:$J$59,TRUE)</f>
        <v>0</v>
      </c>
      <c r="AV8" s="111"/>
      <c r="AW8" s="111"/>
      <c r="AX8" s="111"/>
      <c r="AY8" s="111"/>
      <c r="AZ8" s="111"/>
      <c r="BA8" s="111"/>
      <c r="BB8" s="9"/>
      <c r="BC8" s="112" t="s">
        <v>161</v>
      </c>
      <c r="BD8" s="112"/>
      <c r="BE8" s="112"/>
      <c r="BF8" s="112"/>
      <c r="BG8" s="112"/>
      <c r="BH8" s="112"/>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08"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547</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163</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12"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09">
        <f>81-COUNT('_Engine Hard'!$B$3:$J$11)</f>
        <v>53</v>
      </c>
      <c r="AN8" s="109"/>
      <c r="AO8" s="109"/>
      <c r="AP8" s="109"/>
      <c r="AQ8" s="109"/>
      <c r="AR8" s="109"/>
      <c r="AS8" s="109"/>
      <c r="AT8" s="9"/>
      <c r="AU8" s="111">
        <f>COUNTIF('_Engine Hard'!$B$51:$J$59,TRUE)</f>
        <v>0</v>
      </c>
      <c r="AV8" s="111"/>
      <c r="AW8" s="111"/>
      <c r="AX8" s="111"/>
      <c r="AY8" s="111"/>
      <c r="AZ8" s="111"/>
      <c r="BA8" s="111"/>
      <c r="BB8" s="9"/>
      <c r="BC8" s="112" t="s">
        <v>161</v>
      </c>
      <c r="BD8" s="112"/>
      <c r="BE8" s="112"/>
      <c r="BF8" s="112"/>
      <c r="BG8" s="112"/>
      <c r="BH8" s="112"/>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08"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548</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164</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12"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09">
        <f>81-COUNT('_Engine Expert'!$B$3:$J$11)</f>
        <v>54</v>
      </c>
      <c r="AN8" s="109"/>
      <c r="AO8" s="109"/>
      <c r="AP8" s="109"/>
      <c r="AQ8" s="109"/>
      <c r="AR8" s="109"/>
      <c r="AS8" s="109"/>
      <c r="AT8" s="9"/>
      <c r="AU8" s="111">
        <f>COUNTIF('_Engine Expert'!$B$51:$J$59,TRUE)</f>
        <v>0</v>
      </c>
      <c r="AV8" s="111"/>
      <c r="AW8" s="111"/>
      <c r="AX8" s="111"/>
      <c r="AY8" s="111"/>
      <c r="AZ8" s="111"/>
      <c r="BA8" s="111"/>
      <c r="BB8" s="9"/>
      <c r="BC8" s="112" t="s">
        <v>161</v>
      </c>
      <c r="BD8" s="112"/>
      <c r="BE8" s="112"/>
      <c r="BF8" s="112"/>
      <c r="BG8" s="112"/>
      <c r="BH8" s="112"/>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08"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13" t="s">
        <v>549</v>
      </c>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row>
    <row r="2" spans="2:61" ht="18" customHeight="1">
      <c r="B2" s="114" t="s">
        <v>165</v>
      </c>
      <c r="C2" s="114"/>
      <c r="D2" s="114"/>
      <c r="E2" s="114"/>
      <c r="F2" s="114"/>
      <c r="G2" s="114"/>
      <c r="H2" s="114"/>
      <c r="I2" s="114"/>
      <c r="J2" s="114"/>
      <c r="K2" s="114"/>
      <c r="L2" s="114"/>
      <c r="M2" s="114"/>
      <c r="N2" s="114"/>
      <c r="O2" s="114"/>
      <c r="P2" s="114"/>
      <c r="Q2" s="114"/>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15" t="s">
        <v>157</v>
      </c>
      <c r="AN4" s="115"/>
      <c r="AO4" s="115"/>
      <c r="AP4" s="115"/>
      <c r="AQ4" s="115"/>
      <c r="AR4" s="115"/>
      <c r="AS4" s="115"/>
      <c r="AT4" s="115"/>
      <c r="AU4" s="115"/>
      <c r="AV4" s="115"/>
      <c r="AW4" s="115"/>
      <c r="AX4" s="115"/>
      <c r="AY4" s="115"/>
      <c r="AZ4" s="115"/>
      <c r="BA4" s="115"/>
      <c r="BB4" s="115"/>
      <c r="BC4" s="115"/>
      <c r="BD4" s="115"/>
      <c r="BE4" s="115"/>
      <c r="BF4" s="115"/>
      <c r="BG4" s="115"/>
      <c r="BH4" s="115"/>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12"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12"/>
      <c r="AO5" s="112"/>
      <c r="AP5" s="112"/>
      <c r="AQ5" s="112"/>
      <c r="AR5" s="112"/>
      <c r="AS5" s="112"/>
      <c r="AT5" s="112"/>
      <c r="AU5" s="112"/>
      <c r="AV5" s="112"/>
      <c r="AW5" s="112"/>
      <c r="AX5" s="112"/>
      <c r="AY5" s="112"/>
      <c r="AZ5" s="112"/>
      <c r="BA5" s="112"/>
      <c r="BB5" s="112"/>
      <c r="BC5" s="112"/>
      <c r="BD5" s="112"/>
      <c r="BE5" s="112"/>
      <c r="BF5" s="112"/>
      <c r="BG5" s="112"/>
      <c r="BH5" s="112"/>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16"/>
      <c r="AN6" s="116"/>
      <c r="AO6" s="116"/>
      <c r="AP6" s="116"/>
      <c r="AQ6" s="116"/>
      <c r="AR6" s="116"/>
      <c r="AS6" s="116"/>
      <c r="AT6" s="116"/>
      <c r="AU6" s="116"/>
      <c r="AV6" s="116"/>
      <c r="AW6" s="116"/>
      <c r="AX6" s="116"/>
      <c r="AY6" s="116"/>
      <c r="AZ6" s="116"/>
      <c r="BA6" s="116"/>
      <c r="BB6" s="116"/>
      <c r="BC6" s="116"/>
      <c r="BD6" s="116"/>
      <c r="BE6" s="116"/>
      <c r="BF6" s="116"/>
      <c r="BG6" s="116"/>
      <c r="BH6" s="116"/>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09">
        <f>81-COUNT('_Engine Master'!$B$3:$J$11)</f>
        <v>58</v>
      </c>
      <c r="AN8" s="109"/>
      <c r="AO8" s="109"/>
      <c r="AP8" s="109"/>
      <c r="AQ8" s="109"/>
      <c r="AR8" s="109"/>
      <c r="AS8" s="109"/>
      <c r="AT8" s="9"/>
      <c r="AU8" s="111">
        <f>COUNTIF('_Engine Master'!$B$51:$J$59,TRUE)</f>
        <v>0</v>
      </c>
      <c r="AV8" s="111"/>
      <c r="AW8" s="111"/>
      <c r="AX8" s="111"/>
      <c r="AY8" s="111"/>
      <c r="AZ8" s="111"/>
      <c r="BA8" s="111"/>
      <c r="BB8" s="9"/>
      <c r="BC8" s="112" t="s">
        <v>161</v>
      </c>
      <c r="BD8" s="112"/>
      <c r="BE8" s="112"/>
      <c r="BF8" s="112"/>
      <c r="BG8" s="112"/>
      <c r="BH8" s="112"/>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09"/>
      <c r="AN9" s="109"/>
      <c r="AO9" s="109"/>
      <c r="AP9" s="109"/>
      <c r="AQ9" s="109"/>
      <c r="AR9" s="109"/>
      <c r="AS9" s="109"/>
      <c r="AT9" s="9"/>
      <c r="AU9" s="111"/>
      <c r="AV9" s="111"/>
      <c r="AW9" s="111"/>
      <c r="AX9" s="111"/>
      <c r="AY9" s="111"/>
      <c r="AZ9" s="111"/>
      <c r="BA9" s="111"/>
      <c r="BB9" s="9"/>
      <c r="BC9" s="112"/>
      <c r="BD9" s="112"/>
      <c r="BE9" s="112"/>
      <c r="BF9" s="112"/>
      <c r="BG9" s="112"/>
      <c r="BH9" s="112"/>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08"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08"/>
      <c r="AO12" s="108"/>
      <c r="AP12" s="108"/>
      <c r="AQ12" s="108"/>
      <c r="AR12" s="108"/>
      <c r="AS12" s="108"/>
      <c r="AT12" s="108"/>
      <c r="AU12" s="108"/>
      <c r="AV12" s="108"/>
      <c r="AW12" s="108"/>
      <c r="AX12" s="108"/>
      <c r="AY12" s="108"/>
      <c r="AZ12" s="108"/>
      <c r="BA12" s="108"/>
      <c r="BB12" s="108"/>
      <c r="BC12" s="108"/>
      <c r="BD12" s="108"/>
      <c r="BE12" s="108"/>
      <c r="BF12" s="108"/>
      <c r="BG12" s="108"/>
      <c r="BH12" s="108"/>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08"/>
      <c r="AN13" s="108"/>
      <c r="AO13" s="108"/>
      <c r="AP13" s="108"/>
      <c r="AQ13" s="108"/>
      <c r="AR13" s="108"/>
      <c r="AS13" s="108"/>
      <c r="AT13" s="108"/>
      <c r="AU13" s="108"/>
      <c r="AV13" s="108"/>
      <c r="AW13" s="108"/>
      <c r="AX13" s="108"/>
      <c r="AY13" s="108"/>
      <c r="AZ13" s="108"/>
      <c r="BA13" s="108"/>
      <c r="BB13" s="108"/>
      <c r="BC13" s="108"/>
      <c r="BD13" s="108"/>
      <c r="BE13" s="108"/>
      <c r="BF13" s="108"/>
      <c r="BG13" s="108"/>
      <c r="BH13" s="108"/>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08"/>
      <c r="AN15" s="108"/>
      <c r="AO15" s="108"/>
      <c r="AP15" s="108"/>
      <c r="AQ15" s="108"/>
      <c r="AR15" s="108"/>
      <c r="AS15" s="108"/>
      <c r="AT15" s="108"/>
      <c r="AU15" s="108"/>
      <c r="AV15" s="108"/>
      <c r="AW15" s="108"/>
      <c r="AX15" s="108"/>
      <c r="AY15" s="108"/>
      <c r="AZ15" s="108"/>
      <c r="BA15" s="108"/>
      <c r="BB15" s="108"/>
      <c r="BC15" s="108"/>
      <c r="BD15" s="108"/>
      <c r="BE15" s="108"/>
      <c r="BF15" s="108"/>
      <c r="BG15" s="108"/>
      <c r="BH15" s="108"/>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2:BH15"/>
    <mergeCell ref="AM16:BH16"/>
    <mergeCell ref="AM8:AS9"/>
    <mergeCell ref="AU8:BA9"/>
    <mergeCell ref="BC8:BH9"/>
    <mergeCell ref="AM10:BH10"/>
    <mergeCell ref="AM11:AQ11"/>
    <mergeCell ref="AS11:AZ11"/>
    <mergeCell ref="B1:BH1"/>
    <mergeCell ref="B2:BH2"/>
    <mergeCell ref="AM4:BH4"/>
    <mergeCell ref="AM5:BH6"/>
    <mergeCell ref="AM7:AS7"/>
    <mergeCell ref="AU7:BA7"/>
    <mergeCell ref="BC7:BH7"/>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196"/>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635</v>
      </c>
      <c r="B145" t="s">
        <v>636</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628</v>
      </c>
    </row>
    <row r="165" spans="1:5">
      <c r="A165" t="s">
        <v>629</v>
      </c>
      <c r="B165" t="s">
        <v>630</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 t="shared" ref="E165:E178" si="8">IF(D165=C165,"PASS","FAIL")</f>
        <v>PASS</v>
      </c>
    </row>
    <row r="166" spans="1:5">
      <c r="A166" t="s">
        <v>631</v>
      </c>
      <c r="B166" t="s">
        <v>632</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 t="shared" si="8"/>
        <v>PASS</v>
      </c>
    </row>
    <row r="167" spans="1:5">
      <c r="A167" t="s">
        <v>633</v>
      </c>
      <c r="B167" t="s">
        <v>634</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 t="shared" si="8"/>
        <v>PASS</v>
      </c>
    </row>
    <row r="168" spans="1:5">
      <c r="A168" t="s">
        <v>637</v>
      </c>
      <c r="B168" t="s">
        <v>630</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 t="shared" si="8"/>
        <v>PASS</v>
      </c>
    </row>
    <row r="169" spans="1:5">
      <c r="A169" t="s">
        <v>638</v>
      </c>
      <c r="B169" t="s">
        <v>639</v>
      </c>
      <c r="C169" t="b">
        <v>1</v>
      </c>
      <c r="D169" t="b" cm="1">
        <f t="array" ref="D169">_xlfn.LET(_xlpm.board,_xlfn.MAKEARRAY(9,9,_xlfn.LAMBDA(_xlpm.r,_xlpm.k,"")),_xlpm.cand,_xlfn.MAKEARRAY(9,9,_xlfn.LAMBDA(_xlpm.r,_xlpm.k,IF(AND(_xlpm.r=1,OR(_xlpm.k=1,_xlpm.k=2)),"1","123456789"))),SDKP_Contradiction(_xlpm.board,_xlpm.cand))</f>
        <v>1</v>
      </c>
      <c r="E169" t="str">
        <f t="shared" si="8"/>
        <v>PASS</v>
      </c>
    </row>
    <row r="170" spans="1:5">
      <c r="A170" t="s">
        <v>640</v>
      </c>
      <c r="B170" t="s">
        <v>641</v>
      </c>
      <c r="C170" t="b">
        <v>1</v>
      </c>
      <c r="D170" t="b" cm="1">
        <f t="array" ref="D170">_xlfn.LET(_xlpm.board,_xlfn.MAKEARRAY(9,9,_xlfn.LAMBDA(_xlpm.r,_xlpm.k,"")),_xlpm.cand,_xlfn.MAKEARRAY(9,9,_xlfn.LAMBDA(_xlpm.r,_xlpm.k,IF(AND(_xlpm.k=1,OR(_xlpm.r=1,_xlpm.r=2)),"1","123456789"))),SDKP_Contradiction(_xlpm.board,_xlpm.cand))</f>
        <v>1</v>
      </c>
      <c r="E170" t="str">
        <f t="shared" si="8"/>
        <v>PASS</v>
      </c>
    </row>
    <row r="171" spans="1:5">
      <c r="A171" t="s">
        <v>642</v>
      </c>
      <c r="B171" t="s">
        <v>643</v>
      </c>
      <c r="C171" t="b">
        <v>1</v>
      </c>
      <c r="D171" t="b" cm="1">
        <f t="array" ref="D171">_xlfn.LET(_xlpm.board,_xlfn.MAKEARRAY(9,9,_xlfn.LAMBDA(_xlpm.r,_xlpm.k,"")),_xlpm.cand,_xlfn.MAKEARRAY(9,9,_xlfn.LAMBDA(_xlpm.r,_xlpm.k,IF(OR(AND(_xlpm.r=1,_xlpm.k=1),AND(_xlpm.r=2,_xlpm.k=2)),"1","123456789"))),SDKP_Contradiction(_xlpm.board,_xlpm.cand))</f>
        <v>1</v>
      </c>
      <c r="E171" t="str">
        <f t="shared" si="8"/>
        <v>PASS</v>
      </c>
    </row>
    <row r="172" spans="1:5">
      <c r="A172" t="s">
        <v>644</v>
      </c>
      <c r="B172" t="s">
        <v>645</v>
      </c>
      <c r="C172" t="b">
        <v>0</v>
      </c>
      <c r="D172" t="b" cm="1">
        <f t="array" ref="D172">_xlfn.LET(_xlpm.board,_xlfn.MAKEARRAY(9,9,_xlfn.LAMBDA(_xlpm.r,_xlpm.k,"")),_xlpm.cand,_xlfn.MAKEARRAY(9,9,_xlfn.LAMBDA(_xlpm.r,_xlpm.k,IF(OR(AND(_xlpm.r=1,_xlpm.k=1),AND(_xlpm.r=4,_xlpm.k=4)),"1","123456789"))),SDKP_Contradiction(_xlpm.board,_xlpm.cand))</f>
        <v>0</v>
      </c>
      <c r="E172" t="str">
        <f t="shared" si="8"/>
        <v>PASS</v>
      </c>
    </row>
    <row r="173" spans="1:5">
      <c r="A173" t="s">
        <v>646</v>
      </c>
      <c r="B173" t="s">
        <v>647</v>
      </c>
      <c r="C173" t="b">
        <v>1</v>
      </c>
      <c r="D173" t="b" cm="1">
        <f t="array" ref="D173">_xlfn.LET(_xlpm.c,_xlfn.MAKEARRAY(9,9,_xlfn.LAMBDA(_xlpm.r,_xlpm.k,IF(AND(_xlpm.r=1,_xlpm.k=1),"12",""))),_xlpm.s,_xlfn.HSTACK("Pointing row","R1C2","9","R1C1","probe"),_xlpm.next,SDKP_ApplyStep(_xlpm.c,_xlpm.s),IFERROR(AND(INDEX(_xlpm.next,1,1)="12",NOT(SDKP_HasProgress(_xlpm.c,_xlpm.next))),FALSE))</f>
        <v>1</v>
      </c>
      <c r="E173" t="str">
        <f t="shared" si="8"/>
        <v>PASS</v>
      </c>
    </row>
    <row r="174" spans="1:5">
      <c r="A174" t="s">
        <v>648</v>
      </c>
      <c r="B174" t="s">
        <v>649</v>
      </c>
      <c r="C174" t="b">
        <v>1</v>
      </c>
      <c r="D174" t="b" cm="1">
        <f t="array" ref="D174">_xlfn.LET(_xlpm.c,_xlfn.MAKEARRAY(9,9,_xlfn.LAMBDA(_xlpm.r,_xlpm.k,IF(AND(_xlpm.r=1,_xlpm.k=1),"12",""))),_xlpm.s,_xlfn.HSTACK("Pointing row","R1C2","1","R1C1","probe"),_xlpm.next,SDKP_ApplyStep(_xlpm.c,_xlpm.s),IFERROR(AND(INDEX(_xlpm.next,1,1)="2",SDKP_HasProgress(_xlpm.c,_xlpm.next)),FALSE))</f>
        <v>1</v>
      </c>
      <c r="E174" t="str">
        <f t="shared" si="8"/>
        <v>PASS</v>
      </c>
    </row>
    <row r="175" spans="1:5">
      <c r="A175" t="s">
        <v>650</v>
      </c>
      <c r="B175" t="s">
        <v>651</v>
      </c>
      <c r="C175" t="b">
        <v>1</v>
      </c>
      <c r="D175" t="b" cm="1">
        <f t="array" ref="D175">_xlfn.LET(_xlpm.c,_xlfn.MAKEARRAY(9,9,_xlfn.LAMBDA(_xlpm.r,_xlpm.k,IF(AND(_xlpm.r=1,_xlpm.k=1),"12",""))),_xlpm.next,_xlfn.MAKEARRAY(9,9,_xlfn.LAMBDA(_xlpm.r,_xlpm.k,IF(AND(_xlpm.r=1,_xlpm.k=1),"123",""))),IFERROR(NOT(SDKP_HasProgress(_xlpm.c,_xlpm.next)),FALSE))</f>
        <v>1</v>
      </c>
      <c r="E175" t="str">
        <f t="shared" si="8"/>
        <v>PASS</v>
      </c>
    </row>
    <row r="176" spans="1:5">
      <c r="A176" t="s">
        <v>652</v>
      </c>
      <c r="B176" t="s">
        <v>630</v>
      </c>
      <c r="C176" t="b">
        <v>1</v>
      </c>
      <c r="D176" t="b" cm="1">
        <f t="array" ref="D176">IFERROR(_xlfn.LET(_xlpm.c,_xlfn.MAKEARRAY(9,9,_xlfn.LAMBDA(_xlpm.r,_xlpm.k,_xlfn.IFS(AND(_xlpm.r=2,OR(_xlpm.k=7,_xlpm.k=8)),"13",AND(_xlpm.r=3,_xlpm.k=7),"34",AND(_xlpm.r=2,_xlpm.k&lt;&gt;7,_xlpm.k&lt;&gt;8),"12456789",AND(OR(_xlpm.r=1,_xlpm.r=3),_xlpm.k&gt;=7,_xlpm.k&lt;=9),"12456789",TRUE,"123456789"))),_xlpm.s,SDKP_ClaimingRowStep(_xlpm.c),SUM(--_xlfn.HSTACK(INDEX(_xlpm.s,1,1)="Claiming row",INDEX(_xlpm.s,1,2)="R2C7, R2C8",INDEX(_xlpm.s,1,3)="3",INDEX(_xlpm.s,1,4)="R3C7",INDEX(_xlpm.s,1,5)="Claiming row · Row 2 confines digit 3 to box 3 via R2C7, R2C8 · Remove 3 from R3C7."))=5),FALSE)</f>
        <v>1</v>
      </c>
      <c r="E176" t="str">
        <f t="shared" si="8"/>
        <v>PASS</v>
      </c>
    </row>
    <row r="177" spans="1:5">
      <c r="A177" t="s">
        <v>653</v>
      </c>
      <c r="B177" t="s">
        <v>654</v>
      </c>
      <c r="C177" t="b">
        <v>1</v>
      </c>
      <c r="D177" t="b" cm="1">
        <f t="array" ref="D177">IFERROR(_xlfn.LET(_xlpm.c,_xlfn.MAKEARRAY(9,9,_xlfn.LAMBDA(_xlpm.r,_xlpm.k,_xlfn.IFS(AND(_xlpm.r=2,OR(_xlpm.k=7,_xlpm.k=8)),"13",AND(_xlpm.r=3,_xlpm.k=7),"34",AND(_xlpm.r=2,_xlpm.k&lt;&gt;7,_xlpm.k&lt;&gt;8),"12456789",AND(OR(_xlpm.r=1,_xlpm.r=3),_xlpm.k&gt;=7,_xlpm.k&lt;=9),"12456789",TRUE,"123456789"))),_xlpm.s,SDKP_ClaimingRowStep(_xlpm.c),_xlpm.t,_xlfn.HSTACK(INDEX(_xlpm.s,1,1),INDEX(_xlpm.s,1,2),INDEX(_xlpm.s,1,3),INDEX(_xlpm.s,1,4),"wording may change"),_xlpm.after,SDKP_ApplyStep(_xlpm.c,_xlpm.t),AND(INDEX(_xlpm.after,3,7)="4",INDEX(_xlpm.after,2,7)="13")),FALSE)</f>
        <v>1</v>
      </c>
      <c r="E177" t="str">
        <f t="shared" si="8"/>
        <v>PASS</v>
      </c>
    </row>
    <row r="178" spans="1:5">
      <c r="A178" t="s">
        <v>655</v>
      </c>
      <c r="B178" t="s">
        <v>656</v>
      </c>
      <c r="C178" t="b">
        <v>1</v>
      </c>
      <c r="D178" t="b" cm="1">
        <f t="array" ref="D178">IFERROR(_xlfn.LET(_xlpm.c,_xlfn.MAKEARRAY(9,9,_xlfn.LAMBDA(_xlpm.r,_xlpm.k,_xlfn.IFS(AND(_xlpm.r=2,OR(_xlpm.k=7,_xlpm.k=8)),"13",AND(_xlpm.r=3,_xlpm.k=7),"34",AND(_xlpm.r=2,_xlpm.k&lt;&gt;7,_xlpm.k&lt;&gt;8),"12456789",AND(OR(_xlpm.r=1,_xlpm.r=3),_xlpm.k&gt;=7,_xlpm.k&lt;=9),"12456789",TRUE,"123456789"))),_xlpm.s,SDKP_ClaimingRowStep(_xlpm.c),SDKP_ClaimingRow(_xlpm.c)=INDEX(_xlpm.s,1,5)),FALSE)</f>
        <v>1</v>
      </c>
      <c r="E178" t="str">
        <f t="shared" si="8"/>
        <v>PASS</v>
      </c>
    </row>
    <row r="179" spans="1:5">
      <c r="A179" t="s">
        <v>657</v>
      </c>
      <c r="B179" t="s">
        <v>630</v>
      </c>
      <c r="C179" t="b">
        <v>1</v>
      </c>
      <c r="D179" t="b" cm="1">
        <f t="array" ref="D179">IFERROR(_xlfn.LET(_xlpm.c,_xlfn.MAKEARRAY(9,9,_xlfn.LAMBDA(_xlpm.r,_xlpm.k,_xlfn.IFS(AND(_xlpm.k=2,OR(_xlpm.r=7,_xlpm.r=8)),"13",AND(_xlpm.r=7,_xlpm.k=3),"34",AND(_xlpm.k=2,_xlpm.r&lt;&gt;7,_xlpm.r&lt;&gt;8),"12456789",AND(_xlpm.r&gt;=7,_xlpm.r&lt;=9,OR(_xlpm.k=1,_xlpm.k=3)),"12456789",TRUE,"123456789"))),_xlpm.s,SDKP_ClaimingColStep(_xlpm.c),SUM(--_xlfn.HSTACK(INDEX(_xlpm.s,1,1)="Claiming column",INDEX(_xlpm.s,1,2)="R7C2, R8C2",INDEX(_xlpm.s,1,3)="3",INDEX(_xlpm.s,1,4)="R7C3",INDEX(_xlpm.s,1,5)="Claiming column · Column 2 confines digit 3 to box 7 via R7C2, R8C2 · Remove 3 from R7C3."))=5),FALSE)</f>
        <v>1</v>
      </c>
      <c r="E179" t="str">
        <f>IF(D179=C179,"PASS","FAIL")</f>
        <v>PASS</v>
      </c>
    </row>
    <row r="180" spans="1:5">
      <c r="A180" t="s">
        <v>658</v>
      </c>
      <c r="B180" t="s">
        <v>659</v>
      </c>
      <c r="C180" t="b">
        <v>1</v>
      </c>
      <c r="D180" t="b" cm="1">
        <f t="array" ref="D180">IFERROR(_xlfn.LET(_xlpm.c,_xlfn.MAKEARRAY(9,9,_xlfn.LAMBDA(_xlpm.r,_xlpm.k,_xlfn.IFS(AND(_xlpm.k=2,OR(_xlpm.r=7,_xlpm.r=8)),"13",AND(_xlpm.r=7,_xlpm.k=3),"34",AND(_xlpm.k=2,_xlpm.r&lt;&gt;7,_xlpm.r&lt;&gt;8),"12456789",AND(_xlpm.r&gt;=7,_xlpm.r&lt;=9,OR(_xlpm.k=1,_xlpm.k=3)),"12456789",TRUE,"123456789"))),_xlpm.s,SDKP_ClaimingColStep(_xlpm.c),_xlpm.t,_xlfn.HSTACK(INDEX(_xlpm.s,1,1),INDEX(_xlpm.s,1,2),INDEX(_xlpm.s,1,3),INDEX(_xlpm.s,1,4),"wording may change"),_xlpm.after,SDKP_ApplyStep(_xlpm.c,_xlpm.t),AND(INDEX(_xlpm.after,7,3)="4",INDEX(_xlpm.after,7,2)="13")),FALSE)</f>
        <v>1</v>
      </c>
      <c r="E180" t="str">
        <f>IF(D180=C180,"PASS","FAIL")</f>
        <v>PASS</v>
      </c>
    </row>
    <row r="181" spans="1:5">
      <c r="A181" t="s">
        <v>660</v>
      </c>
      <c r="B181" t="s">
        <v>656</v>
      </c>
      <c r="C181" t="b">
        <v>1</v>
      </c>
      <c r="D181" t="b" cm="1">
        <f t="array" ref="D181">IFERROR(_xlfn.LET(_xlpm.c,_xlfn.MAKEARRAY(9,9,_xlfn.LAMBDA(_xlpm.r,_xlpm.k,_xlfn.IFS(AND(_xlpm.k=2,OR(_xlpm.r=7,_xlpm.r=8)),"13",AND(_xlpm.r=7,_xlpm.k=3),"34",AND(_xlpm.k=2,_xlpm.r&lt;&gt;7,_xlpm.r&lt;&gt;8),"12456789",AND(_xlpm.r&gt;=7,_xlpm.r&lt;=9,OR(_xlpm.k=1,_xlpm.k=3)),"12456789",TRUE,"123456789"))),SDKP_ClaimingCol(_xlpm.c)=INDEX(SDKP_ClaimingColStep(_xlpm.c),1,5)),FALSE)</f>
        <v>1</v>
      </c>
      <c r="E181" t="str">
        <f>IF(D181=C181,"PASS","FAIL")</f>
        <v>PASS</v>
      </c>
    </row>
    <row r="182" spans="1:5">
      <c r="A182" t="s">
        <v>661</v>
      </c>
      <c r="B182" t="s">
        <v>662</v>
      </c>
      <c r="C182" t="b">
        <v>1</v>
      </c>
      <c r="D182" t="b" cm="1">
        <f t="array" ref="D182">IFERROR(_xlfn.LET(_xlpm.c,_xlfn.MAKEARRAY(9,9,_xlfn.LAMBDA(_xlpm.r,_xlpm.k,_xlfn.IFS(AND(_xlpm.r=4,OR(_xlpm.k=2,_xlpm.k=5)),"47",AND(_xlpm.r=4,_xlpm.k=7),"478",_xlpm.r=4,"1235689",TRUE,"123456789"))),_xlpm.s,SDKP_NakedPairRowStep(_xlpm.c),SUM(--_xlfn.HSTACK(INDEX(_xlpm.s,1,1)="Naked pair in row",INDEX(_xlpm.s,1,2)="R4C2, R4C5",INDEX(_xlpm.s,1,3)="47",INDEX(_xlpm.s,1,4)="R4C7",INDEX(_xlpm.s,1,5)="Naked pair in row · R4C2 and R4C5 contain only 4/7 · Remove 4 and 7 from R4C7."))=5),FALSE)</f>
        <v>1</v>
      </c>
      <c r="E182" t="str">
        <f>IF(D182=C182,"PASS","FAIL")</f>
        <v>PASS</v>
      </c>
    </row>
    <row r="183" spans="1:5">
      <c r="A183" t="s">
        <v>663</v>
      </c>
      <c r="B183" t="s">
        <v>664</v>
      </c>
      <c r="C183" t="b">
        <v>1</v>
      </c>
      <c r="D183" t="b" cm="1">
        <f t="array" ref="D183">IFERROR(_xlfn.LET(_xlpm.c,_xlfn.MAKEARRAY(9,9,_xlfn.LAMBDA(_xlpm.r,_xlpm.k,_xlfn.IFS(AND(_xlpm.r=4,OR(_xlpm.k=2,_xlpm.k=5)),"47",AND(_xlpm.r=4,_xlpm.k=7),"478",_xlpm.r=4,"1235689",TRUE,"123456789"))),_xlpm.s,SDKP_NakedPairRowStep(_xlpm.c),_xlpm.t,_xlfn.HSTACK(INDEX(_xlpm.s,1,1),INDEX(_xlpm.s,1,2),INDEX(_xlpm.s,1,3),INDEX(_xlpm.s,1,4),"wording may change"),_xlpm.after,SDKP_ApplyStep(_xlpm.c,_xlpm.t),AND(INDEX(_xlpm.after,4,7)="8",INDEX(_xlpm.after,4,2)="47")),FALSE)</f>
        <v>1</v>
      </c>
      <c r="E183" t="str">
        <f>IF(D183=C183,"PASS","FAIL")</f>
        <v>PASS</v>
      </c>
    </row>
    <row r="184" spans="1:5">
      <c r="A184" t="s">
        <v>665</v>
      </c>
      <c r="B184" t="s">
        <v>666</v>
      </c>
      <c r="C184" t="b">
        <v>1</v>
      </c>
      <c r="D184" t="b" cm="1">
        <f t="array" ref="D184">IFERROR(_xlfn.LET(_xlpm.c,_xlfn.MAKEARRAY(9,9,_xlfn.LAMBDA(_xlpm.r,_xlpm.k,_xlfn.IFS(AND(_xlpm.r=4,OR(_xlpm.k=2,_xlpm.k=5)),"47",AND(_xlpm.r=4,_xlpm.k=7),"478",_xlpm.r=4,"1235689",TRUE,"123456789"))),SDKP_NakedPairRow(_xlpm.c)=INDEX(SDKP_NakedPairRowStep(_xlpm.c),1,5)),FALSE)</f>
        <v>1</v>
      </c>
      <c r="E184" t="str">
        <f>IF(D184=C184,"PASS","FAIL")</f>
        <v>PASS</v>
      </c>
    </row>
    <row r="185" spans="1:5">
      <c r="A185" t="s">
        <v>667</v>
      </c>
      <c r="B185" t="s">
        <v>668</v>
      </c>
      <c r="C185" t="b">
        <v>1</v>
      </c>
      <c r="D185" t="b" cm="1">
        <f t="array" ref="D185">IFERROR(_xlfn.LET(_xlpm.c,_xlfn.MAKEARRAY(9,9,_xlfn.LAMBDA(_xlpm.r,_xlpm.k,_xlfn.IFS(AND(_xlpm.r=4,OR(_xlpm.k=2,_xlpm.k=5,_xlpm.k=8)),"47",AND(_xlpm.r=4,_xlpm.k=7),"478",_xlpm.r=4,"1235689",TRUE,"123456789"))),_xlpm.s,SDKP_NakedPairRowStep(_xlpm.c),SUM(--(_xlpm.s=""))=5),FALSE)</f>
        <v>1</v>
      </c>
      <c r="E185" t="str">
        <f>IF(D185=C185,"PASS","FAIL")</f>
        <v>PASS</v>
      </c>
    </row>
    <row r="186" spans="1:5">
      <c r="A186" t="s">
        <v>669</v>
      </c>
      <c r="B186" t="s">
        <v>662</v>
      </c>
      <c r="C186" t="b">
        <f>TRUE()</f>
        <v>1</v>
      </c>
      <c r="D186" t="b" cm="1">
        <f t="array" ref="D186">IFERROR(_xlfn.LET(_xlpm.c,_xlfn.MAKEARRAY(9,9,_xlfn.LAMBDA(_xlpm.r,_xlpm.k,_xlfn.IFS(AND(_xlpm.k=6,OR(_xlpm.r=2,_xlpm.r=5)),"47",AND(_xlpm.r=7,_xlpm.k=6),"478",_xlpm.k=6,"1235689",TRUE,"123456789"))),_xlpm.s,SDKP_NakedPairColStep(_xlpm.c),SUM(--_xlfn.HSTACK(INDEX(_xlpm.s,1,1)="Naked pair in column",INDEX(_xlpm.s,1,2)="R2C6, R5C6",INDEX(_xlpm.s,1,3)="47",INDEX(_xlpm.s,1,4)="R7C6",INDEX(_xlpm.s,1,5)="Naked pair in column · R2C6 and R5C6 contain only 4/7 · Remove 4 and 7 from R7C6."))=5),FALSE)</f>
        <v>1</v>
      </c>
      <c r="E186" t="str">
        <f>IF(D186=C186,"PASS","FAIL")</f>
        <v>PASS</v>
      </c>
    </row>
    <row r="187" spans="1:5">
      <c r="A187" t="s">
        <v>670</v>
      </c>
      <c r="B187" t="s">
        <v>671</v>
      </c>
      <c r="C187" t="b">
        <f>TRUE()</f>
        <v>1</v>
      </c>
      <c r="D187" t="b" cm="1">
        <f t="array" ref="D187">IFERROR(_xlfn.LET(_xlpm.c,_xlfn.MAKEARRAY(9,9,_xlfn.LAMBDA(_xlpm.r,_xlpm.k,_xlfn.IFS(AND(_xlpm.k=6,OR(_xlpm.r=2,_xlpm.r=5)),"47",AND(_xlpm.r=7,_xlpm.k=6),"478",_xlpm.k=6,"1235689",TRUE,"123456789"))),_xlpm.s,SDKP_NakedPairColStep(_xlpm.c),_xlpm.t,_xlfn.HSTACK(INDEX(_xlpm.s,1,1),INDEX(_xlpm.s,1,2),INDEX(_xlpm.s,1,3),INDEX(_xlpm.s,1,4),"wording may change"),_xlpm.after,SDKP_ApplyStep(_xlpm.c,_xlpm.t),AND(INDEX(_xlpm.after,7,6)="8",INDEX(_xlpm.after,2,6)="47")),FALSE)</f>
        <v>1</v>
      </c>
      <c r="E187" t="str">
        <f>IF(D187=C187,"PASS","FAIL")</f>
        <v>PASS</v>
      </c>
    </row>
    <row r="188" spans="1:5">
      <c r="A188" t="s">
        <v>672</v>
      </c>
      <c r="B188" t="s">
        <v>666</v>
      </c>
      <c r="C188" t="b">
        <f>TRUE()</f>
        <v>1</v>
      </c>
      <c r="D188" t="b" cm="1">
        <f t="array" ref="D188">IFERROR(_xlfn.LET(_xlpm.c,_xlfn.MAKEARRAY(9,9,_xlfn.LAMBDA(_xlpm.r,_xlpm.k,_xlfn.IFS(AND(_xlpm.k=6,OR(_xlpm.r=2,_xlpm.r=5)),"47",AND(_xlpm.r=7,_xlpm.k=6),"478",_xlpm.k=6,"1235689",TRUE,"123456789"))),SDKP_NakedPairCol(_xlpm.c)=INDEX(SDKP_NakedPairColStep(_xlpm.c),1,5)),FALSE)</f>
        <v>1</v>
      </c>
      <c r="E188" t="str">
        <f>IF(D188=C188,"PASS","FAIL")</f>
        <v>PASS</v>
      </c>
    </row>
    <row r="189" spans="1:5">
      <c r="A189" t="s">
        <v>673</v>
      </c>
      <c r="B189" t="s">
        <v>668</v>
      </c>
      <c r="C189" t="b">
        <f>TRUE()</f>
        <v>1</v>
      </c>
      <c r="D189" t="b" cm="1">
        <f t="array" ref="D189">IFERROR(_xlfn.LET(_xlpm.c,_xlfn.MAKEARRAY(9,9,_xlfn.LAMBDA(_xlpm.r,_xlpm.k,_xlfn.IFS(AND(_xlpm.k=6,OR(_xlpm.r=2,_xlpm.r=5,_xlpm.r=8)),"47",AND(_xlpm.r=7,_xlpm.k=6),"478",_xlpm.k=6,"1235689",TRUE,"123456789"))),_xlpm.s,SDKP_NakedPairColStep(_xlpm.c),SUM(--(_xlpm.s=""))=5),FALSE)</f>
        <v>1</v>
      </c>
      <c r="E189" t="str">
        <f>IF(D189=C189,"PASS","FAIL")</f>
        <v>PASS</v>
      </c>
    </row>
    <row r="190" spans="1:5">
      <c r="A190" t="s">
        <v>674</v>
      </c>
      <c r="B190" t="s">
        <v>675</v>
      </c>
      <c r="C190" t="b">
        <f>TRUE()</f>
        <v>1</v>
      </c>
      <c r="D190" t="b" cm="1">
        <f t="array" ref="D190">IFERROR(_xlfn.LET(_xlpm.c,_xlfn.MAKEARRAY(9,9,_xlfn.LAMBDA(_xlpm.r,_xlpm.k,_xlfn.IFS(AND(_xlpm.r=1,_xlpm.k=2),"47",AND(_xlpm.r=2,_xlpm.k=3),"47",AND(_xlpm.r=3,_xlpm.k=1),"478",AND(_xlpm.r&lt;=3,_xlpm.k&lt;=3),"1235689",TRUE,"123456789"))),SDKP_NakedPairBox(_xlpm.c)="Naked pair in box · R1C2 and R2C3 contain only 4/7 in box 1 · Remove 4 and 7 from R3C1."),FALSE)</f>
        <v>1</v>
      </c>
      <c r="E190" t="str">
        <f>IF(D190=C190,"PASS","FAIL")</f>
        <v>PASS</v>
      </c>
    </row>
    <row r="191" spans="1:5">
      <c r="A191" t="s">
        <v>676</v>
      </c>
      <c r="B191" t="s">
        <v>677</v>
      </c>
      <c r="C191" t="b">
        <f>TRUE()</f>
        <v>1</v>
      </c>
      <c r="D191" t="b" cm="1">
        <f t="array" ref="D191">IFERROR(_xlfn.LET(_xlpm.c,_xlfn.MAKEARRAY(9,9,_xlfn.LAMBDA(_xlpm.r,_xlpm.k,_xlfn.IFS(AND(_xlpm.r=1,_xlpm.k=2),"47",AND(_xlpm.r=2,_xlpm.k=3),"47",AND(_xlpm.r=3,_xlpm.k=1),"478",AND(_xlpm.r&lt;=3,_xlpm.k&lt;=3),"1235689",TRUE,"123456789"))),_xlpm.s,SDKP_NakedPairBoxStep(_xlpm.c),SUM(--_xlfn.HSTACK(INDEX(_xlpm.s,1,1)="Naked pair in box",INDEX(_xlpm.s,1,2)="R1C2, R2C3",INDEX(_xlpm.s,1,3)="47",INDEX(_xlpm.s,1,4)="R3C1",INDEX(_xlpm.s,1,5)="Naked pair in box · R1C2 and R2C3 contain only 4/7 in box 1 · Remove 4 and 7 from R3C1."))=5),FALSE)</f>
        <v>1</v>
      </c>
      <c r="E191" t="str">
        <f>IF(D191=C191,"PASS","FAIL")</f>
        <v>PASS</v>
      </c>
    </row>
    <row r="192" spans="1:5">
      <c r="A192" t="s">
        <v>678</v>
      </c>
      <c r="B192" t="s">
        <v>679</v>
      </c>
      <c r="C192" t="b">
        <f>TRUE()</f>
        <v>1</v>
      </c>
      <c r="D192" t="b" cm="1">
        <f t="array" ref="D192">IFERROR(_xlfn.LET(_xlpm.c,_xlfn.MAKEARRAY(9,9,_xlfn.LAMBDA(_xlpm.r,_xlpm.k,_xlfn.IFS(AND(_xlpm.r=1,_xlpm.k=2),"47",AND(_xlpm.r=2,_xlpm.k=3),"47",AND(_xlpm.r=3,_xlpm.k=1),"478",AND(_xlpm.r&lt;=3,_xlpm.k&lt;=3),"1235689",TRUE,"123456789"))),_xlpm.s,SDKP_NakedPairBoxStep(_xlpm.c),_xlpm.action,_xlfn.HSTACK(INDEX(_xlpm.s,1,1),INDEX(_xlpm.s,1,2),INDEX(_xlpm.s,1,3),INDEX(_xlpm.s,1,4),"wording may change"),_xlpm.after,SDKP_ApplyStep(_xlpm.c,_xlpm.action),AND(INDEX(_xlpm.after,3,1)="8",INDEX(_xlpm.after,1,2)="47",INDEX(_xlpm.after,2,3)="47")),FALSE)</f>
        <v>1</v>
      </c>
      <c r="E192" t="str">
        <f>IF(D192=C192,"PASS","FAIL")</f>
        <v>PASS</v>
      </c>
    </row>
    <row r="193" spans="1:5">
      <c r="A193" t="s">
        <v>680</v>
      </c>
      <c r="B193" t="s">
        <v>681</v>
      </c>
      <c r="C193" t="b">
        <f>TRUE()</f>
        <v>1</v>
      </c>
      <c r="D193" t="b" cm="1">
        <f t="array" ref="D193">IFERROR(_xlfn.LET(_xlpm.c,_xlfn.MAKEARRAY(9,9,_xlfn.LAMBDA(_xlpm.r,_xlpm.k,_xlfn.IFS(AND(_xlpm.r=1,_xlpm.k=2),"47",AND(_xlpm.r=2,_xlpm.k=3),"47",AND(_xlpm.r=3,_xlpm.k=1),"478",AND(_xlpm.r&lt;=3,_xlpm.k&lt;=3),"1235689",TRUE,"123456789"))),SDKP_NakedPairBox(_xlpm.c)=INDEX(SDKP_NakedPairBoxStep(_xlpm.c),1,5)),FALSE)</f>
        <v>1</v>
      </c>
      <c r="E193" t="str">
        <f>IF(D193=C193,"PASS","FAIL")</f>
        <v>PASS</v>
      </c>
    </row>
    <row r="194" spans="1:5">
      <c r="A194" t="s">
        <v>682</v>
      </c>
      <c r="B194" t="s">
        <v>683</v>
      </c>
      <c r="C194" t="b">
        <f>TRUE()</f>
        <v>1</v>
      </c>
      <c r="D194" t="b" cm="1">
        <f t="array" ref="D194">IFERROR(_xlfn.LET(_xlpm.c,_xlfn.MAKEARRAY(9,9,_xlfn.LAMBDA(_xlpm.r,_xlpm.k,_xlfn.IFS(AND(_xlpm.r=1,_xlpm.k=2),"47",AND(_xlpm.r=2,_xlpm.k=3),"47",AND(_xlpm.r=3,_xlpm.k=3),"47",AND(_xlpm.r=3,_xlpm.k=1),"478",AND(_xlpm.r&lt;=3,_xlpm.k&lt;=3),"1235689",TRUE,"123456789"))),_xlpm.s,SDKP_NakedPairBoxStep(_xlpm.c),SUM(--(_xlpm.s=""))=5),FALSE)</f>
        <v>1</v>
      </c>
      <c r="E194" t="str">
        <f>IF(D194=C194,"PASS","FAIL")</f>
        <v>PASS</v>
      </c>
    </row>
    <row r="195" spans="1:5">
      <c r="A195" t="s">
        <v>684</v>
      </c>
      <c r="B195" t="s">
        <v>685</v>
      </c>
      <c r="C195" t="b">
        <f>TRUE()</f>
        <v>1</v>
      </c>
      <c r="D195" t="b" cm="1">
        <f t="array" ref="D195">IFERROR(_xlfn.LET(_xlpm.c,_xlfn.MAKEARRAY(9,9,_xlfn.LAMBDA(_xlpm.r,_xlpm.k,_xlfn.IFS(AND(_xlpm.r=4,_xlpm.k=5),"47",AND(_xlpm.r=5,_xlpm.k=6),"47",AND(_xlpm.r=6,_xlpm.k=4),"478",AND(_xlpm.r&gt;=4,_xlpm.r&lt;=6,_xlpm.k&gt;=4,_xlpm.k&lt;=6),"1235689",TRUE,"123456789"))),_xlpm.s,SDKP_NakedPairBoxStep(_xlpm.c),AND(INDEX(_xlpm.s,1,2)="R4C5, R5C6",INDEX(_xlpm.s,1,4)="R6C4",ISNUMBER(SEARCH("in box 5",INDEX(_xlpm.s,1,5))))),FALSE)</f>
        <v>1</v>
      </c>
      <c r="E195" t="str">
        <f>IF(D195=C195,"PASS","FAIL")</f>
        <v>PASS</v>
      </c>
    </row>
    <row r="196" spans="1:5">
      <c r="A196" t="s">
        <v>686</v>
      </c>
      <c r="B196" t="s">
        <v>687</v>
      </c>
      <c r="C196" t="b">
        <f>TRUE()</f>
        <v>1</v>
      </c>
      <c r="D196" t="b" cm="1">
        <f t="array" ref="D196">IFERROR(_xlfn.LET(_xlpm.board,_xlfn.MAKEARRAY(9,9,_xlfn.LAMBDA(_xlpm.r,_xlpm.k,"")),_xlpm.c,_xlfn.MAKEARRAY(9,9,_xlfn.LAMBDA(_xlpm.r,_xlpm.k,_xlfn.IFS(AND(_xlpm.r=1,_xlpm.k=2),"47",AND(_xlpm.r=2,_xlpm.k=3),"47",AND(_xlpm.r=3,_xlpm.k=1),"478",AND(_xlpm.r&lt;=3,_xlpm.k&lt;=3),"1235689",TRUE,"123456789"))),_xlpm.result,SDKP_ChainLoop(_xlpm.board,_xlpm.c,0,1,""),AND(INDEX(_xlpm.result,10,1)="ASSIGNMENT",INDEX(_xlpm.result,3,1)="8",ISNUMBER(SEARCH("Naked pair in box",INDEX(_xlpm.result,10,5))))),FALSE)</f>
        <v>1</v>
      </c>
      <c r="E196" t="str">
        <f>IF(D196=C196,"PASS","FAIL")</f>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627</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2026-09-22T11:35:43Z</dcterms:modified>
</cp:coreProperties>
</file>