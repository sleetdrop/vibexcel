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dev-notes/candidate-chain-prototype/"/>
    </mc:Choice>
  </mc:AlternateContent>
  <xr:revisionPtr revIDLastSave="0" documentId="13_ncr:1_{182CCD97-8A25-A94B-BE02-886721ADC980}" xr6:coauthVersionLast="47" xr6:coauthVersionMax="47" xr10:uidLastSave="{00000000-0000-0000-0000-000000000000}"/>
  <bookViews>
    <workbookView xWindow="3280" yWindow="5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step,IF(_xlpm.rowText&lt;&gt;"",_xlpm.rowStep,_xlpm.colStep),_xlpm.stepText,IF(_xlpm.rowText&lt;&gt;"",_xlpm.rowText,_xlpm.colText),_xlpm.adv,IF(OR(_xlpm.bad,_xlpm.basic&lt;&gt;""),"",IF(_xlpm.stepText&lt;&gt;"",_xlpm.stepText,SDKP_AdvancedHint(_xlpm.c))),_xlpm.state,IF(_xlpm.bad,"CONTRADICTION",IF(_xlpm.basic&lt;&gt;"","ASSIGNMENT",IF(_xlpm.adv="","STABLE",IF(_xlpm.steps&gt;=_xlpm.lim,"LIMIT","CONTINUE")))),IF(_xlpm.state="CONTINUE",_xlfn.LET(_xlpm.next,IF(_xlpm.stepText&lt;&gt;"",SDKP_ApplyStep(_xlpm.c,_xlpm.step),SDKP_Apply(_xlpm.c,_xlpm.adv)),SDKP_ChainLoop(_xlpm.board,_xlpm.next,_xlpm.steps+1,_xlpm.lim,IF(_xlpm.log="",_xlpm.adv,_xlpm.log&amp;CHAR(10)&amp;_xlpm.adv))),_xlfn.VSTACK(_xlpm.c,_xlfn.MAKEARRAY(1,9,_xlfn.LAMBDA(_xlpm.r,_xlpm.k,CHOOSE(_xlpm.k,_xlpm.state,_xlpm.steps,_xlpm.basic,_xlpm.adv,_xlpm.log,"","","","")))))))</definedName>
    <definedName name="SDKP_ClaimingCol">_xlfn.LAMBDA(_xlpm.inputCandidates,_xlfn.LET(_xlpm.c,_xlpm.inputCandidates,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P_ClaimingRow">_xlfn.LAMBDA(_xlpm.inputCandidates,_xlfn.LET(_xlpm.c,_xlpm.inputCandidates,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_xlfn.LET(_xlpm.candMatrix,_xlpm.inputCandidates,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P_NakedPairCol">_xlfn.LAMBDA(_xlpm.inputCandidates,_xlfn.LET(_xlpm.candMatrix,_xlpm.inputCandidates,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P_NakedPairRow">_xlfn.LAMBDA(_xlpm.inputCandidates,_xlfn.LET(_xlpm.candMatrix,_xlpm.inputCandidates,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168" i="10" l="1" a="1"/>
  <c r="D168" i="10" s="1"/>
  <c r="E168" i="10" s="1"/>
  <c r="C168" i="10"/>
  <c r="D167" i="10" a="1"/>
  <c r="D167" i="10" s="1"/>
  <c r="E167" i="10" s="1"/>
  <c r="D166" i="10"/>
  <c r="E166" i="10" s="1"/>
  <c r="D165" i="10" a="1"/>
  <c r="D165" i="10" s="1"/>
  <c r="E165"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I9" i="9" s="1"/>
  <c r="AD23" i="12" s="1" a="1"/>
  <c r="AD23" i="12" s="1"/>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F7" i="16" s="1"/>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E17" i="15" s="1" a="1"/>
  <c r="E17" i="15" s="1"/>
  <c r="N11" i="23" s="1" a="1"/>
  <c r="N11" i="23" s="1"/>
  <c r="K11" i="23"/>
  <c r="D5" i="15" s="1"/>
  <c r="J11" i="23" s="1" a="1"/>
  <c r="J11" i="23" s="1"/>
  <c r="AA8" i="23"/>
  <c r="H4" i="15" s="1"/>
  <c r="K8" i="23"/>
  <c r="D4" i="15" s="1"/>
  <c r="D16" i="15" s="1" a="1"/>
  <c r="D16" i="15" s="1"/>
  <c r="K9" i="23" s="1" a="1"/>
  <c r="K9" i="23" s="1"/>
  <c r="AE5" i="23"/>
  <c r="I3" i="15" s="1"/>
  <c r="G5" i="23"/>
  <c r="K29" i="22"/>
  <c r="D11" i="14" s="1"/>
  <c r="C29" i="22"/>
  <c r="W26" i="22"/>
  <c r="G10" i="14" s="1"/>
  <c r="V26" i="22" s="1" a="1"/>
  <c r="V26" i="22" s="1"/>
  <c r="S26" i="22"/>
  <c r="F10" i="14" s="1"/>
  <c r="S25" i="22" s="1" a="1"/>
  <c r="S25" i="22" s="1"/>
  <c r="K26" i="22"/>
  <c r="G26" i="22"/>
  <c r="C10" i="14" s="1"/>
  <c r="W23" i="22"/>
  <c r="G9" i="14" s="1"/>
  <c r="O23" i="22"/>
  <c r="E9" i="14" s="1"/>
  <c r="G23" i="22"/>
  <c r="C9" i="14" s="1"/>
  <c r="C23" i="22"/>
  <c r="AI20" i="22"/>
  <c r="W20" i="22"/>
  <c r="O20" i="22"/>
  <c r="E8" i="14" s="1"/>
  <c r="AE17" i="22"/>
  <c r="I7" i="14" s="1"/>
  <c r="G17" i="22"/>
  <c r="C7" i="14" s="1"/>
  <c r="C19" i="14" s="1" a="1"/>
  <c r="C19" i="14" s="1"/>
  <c r="G16" i="22" s="1" a="1"/>
  <c r="G16" i="22" s="1"/>
  <c r="W14" i="22"/>
  <c r="G6" i="14" s="1"/>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J11" i="14"/>
  <c r="I11" i="14"/>
  <c r="H11" i="14"/>
  <c r="G11" i="14"/>
  <c r="F11" i="14"/>
  <c r="E11" i="14"/>
  <c r="C11" i="14"/>
  <c r="B11" i="14"/>
  <c r="J10" i="14"/>
  <c r="I10" i="14"/>
  <c r="H10" i="14"/>
  <c r="E10" i="14"/>
  <c r="D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5" i="10"/>
  <c r="D146" i="10"/>
  <c r="L102" i="16" l="1" a="1"/>
  <c r="L102" i="16" s="1"/>
  <c r="B15" i="16" s="1" a="1"/>
  <c r="B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90" i="15" a="1"/>
  <c r="B90" i="15" s="1"/>
  <c r="B89" i="13" a="1"/>
  <c r="B89" i="13" s="1"/>
  <c r="B89" i="15" a="1"/>
  <c r="B89" i="15"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B51" i="16" a="1"/>
  <c r="B51" i="16" s="1"/>
  <c r="I53" i="16" a="1"/>
  <c r="I53" i="16" s="1"/>
  <c r="J54" i="16" a="1"/>
  <c r="J54" i="16" s="1"/>
  <c r="B56" i="16" a="1"/>
  <c r="B56" i="16" s="1"/>
  <c r="C57" i="16" a="1"/>
  <c r="C57" i="16" s="1"/>
  <c r="B66" i="16" a="1"/>
  <c r="B66" i="16" s="1"/>
  <c r="AF6" i="24" a="1"/>
  <c r="AF6" i="24" s="1"/>
  <c r="B62" i="16" a="1"/>
  <c r="B62"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H22" i="16" l="1" a="1"/>
  <c r="H22" i="16" s="1"/>
  <c r="B22" i="16" a="1"/>
  <c r="B22" i="16" s="1"/>
  <c r="B27" i="24" s="1" a="1"/>
  <c r="B27" i="24" s="1"/>
  <c r="G20" i="16" a="1"/>
  <c r="G20" i="16" s="1"/>
  <c r="C19" i="16" a="1"/>
  <c r="C19" i="16" s="1"/>
  <c r="F20" i="16" a="1"/>
  <c r="F20" i="16" s="1"/>
  <c r="T20" i="24" s="1" a="1"/>
  <c r="T20" i="24" s="1"/>
  <c r="I21" i="16" a="1"/>
  <c r="I21" i="16" s="1"/>
  <c r="E20" i="16" a="1"/>
  <c r="E20" i="16" s="1"/>
  <c r="O19" i="24" s="1" a="1"/>
  <c r="O19" i="24" s="1"/>
  <c r="G16" i="16" a="1"/>
  <c r="G16" i="16" s="1"/>
  <c r="X7" i="24" s="1" a="1"/>
  <c r="X7" i="24" s="1"/>
  <c r="E23" i="16" a="1"/>
  <c r="E23" i="16" s="1"/>
  <c r="O30" i="24" s="1" a="1"/>
  <c r="O30" i="24" s="1"/>
  <c r="F23" i="16" a="1"/>
  <c r="F23" i="16" s="1"/>
  <c r="R29" i="24" s="1" a="1"/>
  <c r="R29" i="24" s="1"/>
  <c r="E21" i="16" a="1"/>
  <c r="E21" i="16" s="1"/>
  <c r="I19" i="16" a="1"/>
  <c r="I19" i="16" s="1"/>
  <c r="F22" i="16" a="1"/>
  <c r="F22" i="16" s="1"/>
  <c r="T26" i="24" s="1" a="1"/>
  <c r="T26" i="24" s="1"/>
  <c r="B23" i="16" a="1"/>
  <c r="B23" i="16" s="1"/>
  <c r="D28" i="24" s="1" a="1"/>
  <c r="D28" i="24" s="1"/>
  <c r="E22" i="16" a="1"/>
  <c r="E22" i="16" s="1"/>
  <c r="P27" i="24" s="1" a="1"/>
  <c r="P27" i="24" s="1"/>
  <c r="I20" i="16" a="1"/>
  <c r="I20" i="16" s="1"/>
  <c r="AF19" i="24" s="1" a="1"/>
  <c r="AF19" i="24" s="1"/>
  <c r="C22" i="16" a="1"/>
  <c r="C22" i="16" s="1"/>
  <c r="H20" i="16" a="1"/>
  <c r="H20" i="16" s="1"/>
  <c r="Z21" i="24" s="1" a="1"/>
  <c r="Z21" i="24" s="1"/>
  <c r="I17" i="16" a="1"/>
  <c r="I17" i="16" s="1"/>
  <c r="AD11" i="24" s="1" a="1"/>
  <c r="AD11" i="24" s="1"/>
  <c r="E18" i="16" a="1"/>
  <c r="E18" i="16" s="1"/>
  <c r="D18" i="16" a="1"/>
  <c r="D18" i="16" s="1"/>
  <c r="C21" i="16" a="1"/>
  <c r="C21" i="16" s="1"/>
  <c r="F24" i="24" s="1" a="1"/>
  <c r="F24" i="24" s="1"/>
  <c r="J18" i="16" a="1"/>
  <c r="J18" i="16" s="1"/>
  <c r="AJ15" i="24" s="1" a="1"/>
  <c r="AJ15" i="24" s="1"/>
  <c r="G23" i="16" a="1"/>
  <c r="G23" i="16" s="1"/>
  <c r="X28" i="24" s="1" a="1"/>
  <c r="X28" i="24" s="1"/>
  <c r="F21" i="16" a="1"/>
  <c r="F21" i="16" s="1"/>
  <c r="S22" i="24" s="1" a="1"/>
  <c r="S22" i="24" s="1"/>
  <c r="J19" i="16" a="1"/>
  <c r="J19" i="16" s="1"/>
  <c r="D16" i="16" a="1"/>
  <c r="D16" i="16" s="1"/>
  <c r="K7" i="24" s="1" a="1"/>
  <c r="K7" i="24" s="1"/>
  <c r="H17" i="16" a="1"/>
  <c r="H17" i="16" s="1"/>
  <c r="G17" i="16" a="1"/>
  <c r="G17" i="16" s="1"/>
  <c r="V11" i="24" s="1" a="1"/>
  <c r="V11" i="24" s="1"/>
  <c r="H19" i="16" a="1"/>
  <c r="H19" i="16" s="1"/>
  <c r="AA18" i="24" s="1" a="1"/>
  <c r="AA18" i="24" s="1"/>
  <c r="C18" i="16" a="1"/>
  <c r="C18" i="16" s="1"/>
  <c r="H21" i="16" a="1"/>
  <c r="H21" i="16" s="1"/>
  <c r="Z24" i="24" s="1" a="1"/>
  <c r="Z24" i="24" s="1"/>
  <c r="E19" i="16" a="1"/>
  <c r="E19" i="16" s="1"/>
  <c r="P18" i="24" s="1" a="1"/>
  <c r="P18" i="24" s="1"/>
  <c r="D19" i="16" a="1"/>
  <c r="D19" i="16" s="1"/>
  <c r="L16" i="24" s="1" a="1"/>
  <c r="L16" i="24" s="1"/>
  <c r="G15" i="16" a="1"/>
  <c r="G15" i="16" s="1"/>
  <c r="B17" i="16" a="1"/>
  <c r="B17" i="16" s="1"/>
  <c r="D10" i="24" s="1" a="1"/>
  <c r="D10" i="24" s="1"/>
  <c r="C16" i="16" a="1"/>
  <c r="C16" i="16" s="1"/>
  <c r="B19" i="16" a="1"/>
  <c r="B19" i="16" s="1"/>
  <c r="C16" i="24" s="1" a="1"/>
  <c r="C16" i="24" s="1"/>
  <c r="F17" i="16" a="1"/>
  <c r="F17" i="16" s="1"/>
  <c r="T12" i="24" s="1" a="1"/>
  <c r="T12" i="24" s="1"/>
  <c r="B21" i="16" a="1"/>
  <c r="B21" i="16" s="1"/>
  <c r="G18" i="16" a="1"/>
  <c r="G18" i="16" s="1"/>
  <c r="F18" i="16" a="1"/>
  <c r="F18" i="16" s="1"/>
  <c r="T13" i="24" s="1" a="1"/>
  <c r="T13" i="24" s="1"/>
  <c r="I22" i="16" a="1"/>
  <c r="I22" i="16" s="1"/>
  <c r="AE25" i="24" s="1" a="1"/>
  <c r="AE25" i="24" s="1"/>
  <c r="F15" i="16" a="1"/>
  <c r="F15" i="16" s="1"/>
  <c r="T4" i="24" s="1" a="1"/>
  <c r="T4" i="24" s="1"/>
  <c r="E15" i="16" a="1"/>
  <c r="E15" i="16" s="1"/>
  <c r="O6" i="24" s="1" a="1"/>
  <c r="O6" i="24" s="1"/>
  <c r="J16" i="16" a="1"/>
  <c r="J16" i="16" s="1"/>
  <c r="I16" i="16" a="1"/>
  <c r="I16" i="16" s="1"/>
  <c r="AD9" i="24" s="1" a="1"/>
  <c r="AD9" i="24" s="1"/>
  <c r="D20" i="16" a="1"/>
  <c r="D20" i="16" s="1"/>
  <c r="K19" i="24" s="1" a="1"/>
  <c r="K19" i="24" s="1"/>
  <c r="J17" i="16" a="1"/>
  <c r="J17" i="16" s="1"/>
  <c r="AJ12" i="24" s="1" a="1"/>
  <c r="AJ12" i="24" s="1"/>
  <c r="C17" i="16" a="1"/>
  <c r="C17" i="16" s="1"/>
  <c r="G12" i="24" s="1" a="1"/>
  <c r="G12" i="24" s="1"/>
  <c r="B18" i="16" a="1"/>
  <c r="B18" i="16" s="1"/>
  <c r="G21" i="16" a="1"/>
  <c r="G21" i="16" s="1"/>
  <c r="D22" i="16" a="1"/>
  <c r="D22" i="16" s="1"/>
  <c r="J27" i="24" s="1" a="1"/>
  <c r="J27" i="24" s="1"/>
  <c r="B16" i="16" a="1"/>
  <c r="B16" i="16" s="1"/>
  <c r="B8" i="24" s="1" a="1"/>
  <c r="B8" i="24" s="1"/>
  <c r="J15" i="16" a="1"/>
  <c r="J15" i="16" s="1"/>
  <c r="AJ5" i="24" s="1" a="1"/>
  <c r="AJ5" i="24" s="1"/>
  <c r="G19" i="16" a="1"/>
  <c r="G19" i="16" s="1"/>
  <c r="W18" i="24" s="1" a="1"/>
  <c r="W18" i="24" s="1"/>
  <c r="D17" i="16" a="1"/>
  <c r="D17" i="16" s="1"/>
  <c r="E16" i="16" a="1"/>
  <c r="E16" i="16" s="1"/>
  <c r="P7" i="24" s="1" a="1"/>
  <c r="P7" i="24" s="1"/>
  <c r="J23" i="16" a="1"/>
  <c r="J23" i="16" s="1"/>
  <c r="AI30" i="24" s="1" a="1"/>
  <c r="AI30" i="24" s="1"/>
  <c r="H16" i="16" a="1"/>
  <c r="H16" i="16" s="1"/>
  <c r="Z9" i="24" s="1" a="1"/>
  <c r="Z9" i="24" s="1"/>
  <c r="E17" i="16" a="1"/>
  <c r="E17" i="16" s="1"/>
  <c r="C20" i="16" a="1"/>
  <c r="C20" i="16" s="1"/>
  <c r="H19" i="24" s="1" a="1"/>
  <c r="H19" i="24" s="1"/>
  <c r="D15" i="16" a="1"/>
  <c r="D15" i="16" s="1"/>
  <c r="L6" i="24" s="1" a="1"/>
  <c r="L6" i="24" s="1"/>
  <c r="I18" i="16" a="1"/>
  <c r="I18" i="16" s="1"/>
  <c r="AD14" i="24" s="1" a="1"/>
  <c r="AD14" i="24" s="1"/>
  <c r="F16" i="16" a="1"/>
  <c r="F16" i="16" s="1"/>
  <c r="D23" i="16" a="1"/>
  <c r="D23" i="16" s="1"/>
  <c r="J21" i="16" a="1"/>
  <c r="J21" i="16" s="1"/>
  <c r="AJ23" i="24" s="1" a="1"/>
  <c r="AJ23" i="24" s="1"/>
  <c r="I23" i="16" a="1"/>
  <c r="I23" i="16" s="1"/>
  <c r="AF29" i="24" s="1" a="1"/>
  <c r="AF29" i="24" s="1"/>
  <c r="I15" i="16" a="1"/>
  <c r="I15" i="16" s="1"/>
  <c r="B20" i="16" a="1"/>
  <c r="B20" i="16" s="1"/>
  <c r="H18" i="16" a="1"/>
  <c r="H18" i="16" s="1"/>
  <c r="J20" i="16" a="1"/>
  <c r="J20" i="16" s="1"/>
  <c r="AJ19" i="24" s="1" a="1"/>
  <c r="AJ19" i="24" s="1"/>
  <c r="H15" i="16" a="1"/>
  <c r="H15" i="16" s="1"/>
  <c r="AB5" i="24" s="1" a="1"/>
  <c r="AB5" i="24" s="1"/>
  <c r="G22" i="16" a="1"/>
  <c r="G22" i="16" s="1"/>
  <c r="W25" i="24" s="1" a="1"/>
  <c r="W25" i="24" s="1"/>
  <c r="D21" i="16" a="1"/>
  <c r="D21" i="16" s="1"/>
  <c r="K22" i="24" s="1" a="1"/>
  <c r="K22" i="24" s="1"/>
  <c r="C23" i="16" a="1"/>
  <c r="C23" i="16" s="1"/>
  <c r="G30" i="24" s="1" a="1"/>
  <c r="G30" i="24" s="1"/>
  <c r="H23" i="16" a="1"/>
  <c r="H23" i="16" s="1"/>
  <c r="J22" i="16" a="1"/>
  <c r="J22" i="16" s="1"/>
  <c r="C15" i="16" a="1"/>
  <c r="C15" i="16" s="1"/>
  <c r="G4" i="24" s="1" a="1"/>
  <c r="G4" i="24" s="1"/>
  <c r="F19" i="16" a="1"/>
  <c r="F19" i="16" s="1"/>
  <c r="B88" i="16" a="1"/>
  <c r="B88" i="16" s="1"/>
  <c r="B88" i="14" a="1"/>
  <c r="B88" i="14" s="1"/>
  <c r="F7" i="22" s="1" a="1"/>
  <c r="F7" i="22" s="1"/>
  <c r="B88" i="15" a="1"/>
  <c r="B88" i="15" s="1"/>
  <c r="J7" i="23" s="1" a="1"/>
  <c r="J7" i="23"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T25" i="24" a="1"/>
  <c r="T25" i="24" s="1"/>
  <c r="Z23" i="24" a="1"/>
  <c r="Z23" i="24" s="1"/>
  <c r="AB23" i="24" a="1"/>
  <c r="AB23" i="24" s="1"/>
  <c r="F23" i="24" a="1"/>
  <c r="F23" i="24" s="1"/>
  <c r="H23" i="24" a="1"/>
  <c r="H23" i="24" s="1"/>
  <c r="O16" i="24" a="1"/>
  <c r="O16" i="24" s="1"/>
  <c r="N18" i="24" a="1"/>
  <c r="N18" i="24" s="1"/>
  <c r="S15" i="24" a="1"/>
  <c r="S15" i="24" s="1"/>
  <c r="T15" i="24" a="1"/>
  <c r="T15" i="24" s="1"/>
  <c r="B15" i="24" a="1"/>
  <c r="B15" i="24" s="1"/>
  <c r="B14" i="24" a="1"/>
  <c r="B14" i="24" s="1"/>
  <c r="C15" i="24" a="1"/>
  <c r="C15" i="24" s="1"/>
  <c r="D14" i="24" a="1"/>
  <c r="D14" i="24" s="1"/>
  <c r="D15" i="24" a="1"/>
  <c r="D15" i="24" s="1"/>
  <c r="C13" i="24" a="1"/>
  <c r="C13" i="24" s="1"/>
  <c r="D13" i="24" a="1"/>
  <c r="D13" i="24" s="1"/>
  <c r="B9" i="24" a="1"/>
  <c r="B9"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G21" i="24" a="1"/>
  <c r="G21" i="24" s="1"/>
  <c r="H21" i="24" a="1"/>
  <c r="H21" i="24" s="1"/>
  <c r="F20" i="24" a="1"/>
  <c r="F20" i="24" s="1"/>
  <c r="F21" i="24" a="1"/>
  <c r="F21" i="24" s="1"/>
  <c r="H20" i="24" a="1"/>
  <c r="H20" i="24" s="1"/>
  <c r="G19" i="24" a="1"/>
  <c r="G19" i="24" s="1"/>
  <c r="G7" i="24" a="1"/>
  <c r="G7" i="24" s="1"/>
  <c r="F9" i="24" a="1"/>
  <c r="F9" i="24" s="1"/>
  <c r="H7" i="24" a="1"/>
  <c r="H7" i="24" s="1"/>
  <c r="G9" i="24" a="1"/>
  <c r="G9" i="24" s="1"/>
  <c r="H9" i="24" a="1"/>
  <c r="H9" i="24" s="1"/>
  <c r="F8" i="24" a="1"/>
  <c r="F8" i="24" s="1"/>
  <c r="H8" i="24" a="1"/>
  <c r="H8" i="24" s="1"/>
  <c r="C27" i="24" a="1"/>
  <c r="C27" i="24" s="1"/>
  <c r="AE16" i="24" a="1"/>
  <c r="AE16" i="24" s="1"/>
  <c r="AD17" i="24" a="1"/>
  <c r="AD17" i="24" s="1"/>
  <c r="AF18" i="24" a="1"/>
  <c r="AF18" i="24" s="1"/>
  <c r="AF17" i="24" a="1"/>
  <c r="AF17" i="24" s="1"/>
  <c r="AF16" i="24" a="1"/>
  <c r="AF16" i="24" s="1"/>
  <c r="AD18" i="24" a="1"/>
  <c r="AD18" i="24" s="1"/>
  <c r="AE18" i="24" a="1"/>
  <c r="AE18" i="24" s="1"/>
  <c r="K16" i="24" a="1"/>
  <c r="K16" i="24" s="1"/>
  <c r="Z6" i="24" a="1"/>
  <c r="Z6" i="24" s="1"/>
  <c r="L29" i="24" a="1"/>
  <c r="L29" i="24" s="1"/>
  <c r="J30" i="24" a="1"/>
  <c r="J30" i="24" s="1"/>
  <c r="K30" i="24" a="1"/>
  <c r="K30" i="24" s="1"/>
  <c r="K28" i="24" a="1"/>
  <c r="K28" i="24" s="1"/>
  <c r="L30" i="24" a="1"/>
  <c r="L30" i="24" s="1"/>
  <c r="L28" i="24" a="1"/>
  <c r="L28" i="24" s="1"/>
  <c r="J29" i="24" a="1"/>
  <c r="J29" i="24" s="1"/>
  <c r="D27" i="24" a="1"/>
  <c r="D27" i="24" s="1"/>
  <c r="D26" i="24" a="1"/>
  <c r="D26" i="24" s="1"/>
  <c r="C25" i="24" a="1"/>
  <c r="C25" i="24" s="1"/>
  <c r="D25" i="24" a="1"/>
  <c r="D25" i="24" s="1"/>
  <c r="G16" i="24" a="1"/>
  <c r="G16" i="24" s="1"/>
  <c r="H16" i="24" a="1"/>
  <c r="H16" i="24" s="1"/>
  <c r="F17" i="24" a="1"/>
  <c r="F17" i="24" s="1"/>
  <c r="F18" i="24" a="1"/>
  <c r="F18" i="24" s="1"/>
  <c r="H18" i="24" a="1"/>
  <c r="H18" i="24" s="1"/>
  <c r="H17" i="24" a="1"/>
  <c r="H17" i="24" s="1"/>
  <c r="G18" i="24" a="1"/>
  <c r="G18"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W19" i="24" a="1"/>
  <c r="W19" i="24" s="1"/>
  <c r="X19" i="24" a="1"/>
  <c r="X19" i="24" s="1"/>
  <c r="V20" i="24" a="1"/>
  <c r="V20" i="24" s="1"/>
  <c r="X20" i="24" a="1"/>
  <c r="X20" i="24" s="1"/>
  <c r="V21" i="24" a="1"/>
  <c r="V21" i="24" s="1"/>
  <c r="X21" i="24" a="1"/>
  <c r="X21" i="24" s="1"/>
  <c r="W21" i="24" a="1"/>
  <c r="W21" i="24" s="1"/>
  <c r="AE21" i="24" a="1"/>
  <c r="AE21"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7" i="24" a="1"/>
  <c r="AF27" i="24" s="1"/>
  <c r="AD26" i="24" a="1"/>
  <c r="AD26" i="24" s="1"/>
  <c r="AF26" i="24" a="1"/>
  <c r="AF26" i="24" s="1"/>
  <c r="K27" i="24" a="1"/>
  <c r="K27" i="24" s="1"/>
  <c r="K25" i="24" a="1"/>
  <c r="K25" i="24" s="1"/>
  <c r="L25" i="24" a="1"/>
  <c r="L25" i="24" s="1"/>
  <c r="F27" i="24" a="1"/>
  <c r="F27" i="24" s="1"/>
  <c r="F26" i="24" a="1"/>
  <c r="F26" i="24" s="1"/>
  <c r="G27" i="24" a="1"/>
  <c r="G27" i="24" s="1"/>
  <c r="H26" i="24" a="1"/>
  <c r="H26" i="24" s="1"/>
  <c r="H27" i="24" a="1"/>
  <c r="H27" i="24" s="1"/>
  <c r="G25" i="24" a="1"/>
  <c r="G25" i="24" s="1"/>
  <c r="H25" i="24" a="1"/>
  <c r="H25" i="24" s="1"/>
  <c r="AJ9" i="24" a="1"/>
  <c r="AJ9" i="24" s="1"/>
  <c r="AJ7" i="24" a="1"/>
  <c r="AJ7" i="24" s="1"/>
  <c r="AH8" i="24" a="1"/>
  <c r="AH8" i="24" s="1"/>
  <c r="AJ8" i="24" a="1"/>
  <c r="AJ8" i="24" s="1"/>
  <c r="AH9" i="24" a="1"/>
  <c r="AH9" i="24" s="1"/>
  <c r="AI9" i="24" a="1"/>
  <c r="AI9" i="24" s="1"/>
  <c r="AI7" i="24" a="1"/>
  <c r="AI7" i="24" s="1"/>
  <c r="AU8" i="24"/>
  <c r="L7" i="24" a="1"/>
  <c r="L7" i="24" s="1"/>
  <c r="C24" i="24" a="1"/>
  <c r="C24" i="24" s="1"/>
  <c r="B23" i="24" a="1"/>
  <c r="B23" i="24" s="1"/>
  <c r="C22" i="24" a="1"/>
  <c r="C22" i="24" s="1"/>
  <c r="D22" i="24" a="1"/>
  <c r="D22" i="24" s="1"/>
  <c r="B24" i="24" a="1"/>
  <c r="B24" i="24" s="1"/>
  <c r="D24" i="24" a="1"/>
  <c r="D24" i="24" s="1"/>
  <c r="D23" i="24" a="1"/>
  <c r="D23" i="24" s="1"/>
  <c r="AE15" i="24" a="1"/>
  <c r="AE15" i="24" s="1"/>
  <c r="B26" i="24" a="1"/>
  <c r="B26" i="24" s="1"/>
  <c r="R18" i="24" a="1"/>
  <c r="R18" i="24" s="1"/>
  <c r="R17" i="24" a="1"/>
  <c r="R17" i="24" s="1"/>
  <c r="S18" i="24" a="1"/>
  <c r="S18" i="24" s="1"/>
  <c r="S16" i="24" a="1"/>
  <c r="S16" i="24" s="1"/>
  <c r="T16" i="24" a="1"/>
  <c r="T16" i="24" s="1"/>
  <c r="T18" i="24" a="1"/>
  <c r="T18" i="24" s="1"/>
  <c r="T17" i="24" a="1"/>
  <c r="T17" i="24" s="1"/>
  <c r="AB15" i="24" a="1"/>
  <c r="AB15" i="24" s="1"/>
  <c r="Z14" i="24" a="1"/>
  <c r="Z14" i="24" s="1"/>
  <c r="AA13" i="24" a="1"/>
  <c r="AA13" i="24" s="1"/>
  <c r="AB13" i="24" a="1"/>
  <c r="AB13" i="24" s="1"/>
  <c r="Z15" i="24" a="1"/>
  <c r="Z15" i="24" s="1"/>
  <c r="AA15" i="24" a="1"/>
  <c r="AA15" i="24" s="1"/>
  <c r="AB14" i="24" a="1"/>
  <c r="AB1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K4" i="24" a="1"/>
  <c r="K4" i="24" s="1"/>
  <c r="L4" i="24" a="1"/>
  <c r="L4" i="24" s="1"/>
  <c r="J6" i="24" a="1"/>
  <c r="J6" i="24" s="1"/>
  <c r="L5" i="24" a="1"/>
  <c r="L5" i="24" s="1"/>
  <c r="K6" i="24" a="1"/>
  <c r="K6" i="24" s="1"/>
  <c r="L24" i="24" a="1"/>
  <c r="L24" i="24" s="1"/>
  <c r="O15" i="24" a="1"/>
  <c r="O15" i="24" s="1"/>
  <c r="P15" i="24" a="1"/>
  <c r="P15" i="24" s="1"/>
  <c r="O13" i="24" a="1"/>
  <c r="O13" i="24" s="1"/>
  <c r="P14" i="24" a="1"/>
  <c r="P14" i="24" s="1"/>
  <c r="P13" i="24" a="1"/>
  <c r="P13" i="24" s="1"/>
  <c r="N15" i="24" a="1"/>
  <c r="N15" i="24" s="1"/>
  <c r="N14" i="24" a="1"/>
  <c r="N14" i="24" s="1"/>
  <c r="W24" i="24" a="1"/>
  <c r="W24" i="24" s="1"/>
  <c r="X24" i="24" a="1"/>
  <c r="X24" i="24" s="1"/>
  <c r="X23" i="24" a="1"/>
  <c r="X23" i="24" s="1"/>
  <c r="X22" i="24" a="1"/>
  <c r="X22" i="24" s="1"/>
  <c r="V23" i="24" a="1"/>
  <c r="V23" i="24" s="1"/>
  <c r="V24" i="24" a="1"/>
  <c r="V24" i="24" s="1"/>
  <c r="W22" i="24" a="1"/>
  <c r="W22" i="24" s="1"/>
  <c r="AB30" i="24" a="1"/>
  <c r="AB30" i="24" s="1"/>
  <c r="AA21" i="24" a="1"/>
  <c r="AA21" i="24" s="1"/>
  <c r="AB21" i="24" a="1"/>
  <c r="AB21" i="24" s="1"/>
  <c r="AB19" i="24" a="1"/>
  <c r="AB19"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AF13" i="24" l="1" a="1"/>
  <c r="AF13" i="24" s="1"/>
  <c r="J23" i="24" a="1"/>
  <c r="J23" i="24" s="1"/>
  <c r="D7" i="24" a="1"/>
  <c r="D7" i="24" s="1"/>
  <c r="J24" i="24" a="1"/>
  <c r="J24" i="24" s="1"/>
  <c r="C30" i="24" a="1"/>
  <c r="C30" i="24" s="1"/>
  <c r="C9" i="24" a="1"/>
  <c r="C9" i="24" s="1"/>
  <c r="C7" i="24" a="1"/>
  <c r="C7" i="24" s="1"/>
  <c r="AH6" i="24" a="1"/>
  <c r="AH6" i="24" s="1"/>
  <c r="Z17" i="24" a="1"/>
  <c r="Z17" i="24" s="1"/>
  <c r="AH5" i="24" a="1"/>
  <c r="AH5" i="24" s="1"/>
  <c r="AB18" i="24" a="1"/>
  <c r="AB18" i="24" s="1"/>
  <c r="L23" i="24" a="1"/>
  <c r="L23" i="24" s="1"/>
  <c r="AI12" i="24" a="1"/>
  <c r="AI12" i="24" s="1"/>
  <c r="AB16" i="24" a="1"/>
  <c r="AB16" i="24" s="1"/>
  <c r="AA16" i="24" a="1"/>
  <c r="AA16" i="24" s="1"/>
  <c r="D9" i="24" a="1"/>
  <c r="D9" i="24" s="1"/>
  <c r="D8" i="24" a="1"/>
  <c r="D8" i="24" s="1"/>
  <c r="L20" i="24" a="1"/>
  <c r="L20" i="24" s="1"/>
  <c r="J20" i="24" a="1"/>
  <c r="J20" i="24" s="1"/>
  <c r="L19" i="24" a="1"/>
  <c r="L19" i="24" s="1"/>
  <c r="K24" i="24" a="1"/>
  <c r="K24" i="24" s="1"/>
  <c r="X9" i="24" a="1"/>
  <c r="X9" i="24" s="1"/>
  <c r="R15" i="24" a="1"/>
  <c r="R15" i="24" s="1"/>
  <c r="L21" i="24" a="1"/>
  <c r="L21" i="24" s="1"/>
  <c r="AD21" i="24" a="1"/>
  <c r="AD21" i="24" s="1"/>
  <c r="Z18" i="24" a="1"/>
  <c r="Z18" i="24" s="1"/>
  <c r="AB20" i="24" a="1"/>
  <c r="AB20" i="24" s="1"/>
  <c r="N6" i="24" a="1"/>
  <c r="N6" i="24" s="1"/>
  <c r="H29" i="24" a="1"/>
  <c r="H29" i="24" s="1"/>
  <c r="C12" i="24" a="1"/>
  <c r="C12" i="24" s="1"/>
  <c r="AB9" i="24" a="1"/>
  <c r="AB9" i="24" s="1"/>
  <c r="Z20" i="24" a="1"/>
  <c r="Z20" i="24" s="1"/>
  <c r="P5" i="24" a="1"/>
  <c r="P5" i="24" s="1"/>
  <c r="F29" i="24" a="1"/>
  <c r="F29" i="24" s="1"/>
  <c r="AB7" i="24" a="1"/>
  <c r="AB7" i="24" s="1"/>
  <c r="V8" i="24" a="1"/>
  <c r="V8" i="24" s="1"/>
  <c r="R24" i="24" a="1"/>
  <c r="R24" i="24" s="1"/>
  <c r="H28" i="24" a="1"/>
  <c r="H28" i="24" s="1"/>
  <c r="W7" i="24" a="1"/>
  <c r="W7" i="24" s="1"/>
  <c r="AA19" i="24" a="1"/>
  <c r="AA19" i="24" s="1"/>
  <c r="L22" i="24" a="1"/>
  <c r="L22" i="24" s="1"/>
  <c r="T23" i="24" a="1"/>
  <c r="T23" i="24" s="1"/>
  <c r="G28" i="24" a="1"/>
  <c r="G28" i="24" s="1"/>
  <c r="AJ4" i="24" a="1"/>
  <c r="AJ4" i="24" s="1"/>
  <c r="B17" i="24" a="1"/>
  <c r="B17" i="24" s="1"/>
  <c r="X29" i="24" a="1"/>
  <c r="X29" i="24" s="1"/>
  <c r="AD15" i="24" a="1"/>
  <c r="AD15" i="24" s="1"/>
  <c r="L8" i="24" a="1"/>
  <c r="L8" i="24" s="1"/>
  <c r="C28" i="24" a="1"/>
  <c r="C28" i="24" s="1"/>
  <c r="J17" i="24" a="1"/>
  <c r="J17" i="24" s="1"/>
  <c r="T6" i="24" a="1"/>
  <c r="T6" i="24" s="1"/>
  <c r="V29" i="24" a="1"/>
  <c r="V29" i="24" s="1"/>
  <c r="S4" i="24" a="1"/>
  <c r="S4" i="24" s="1"/>
  <c r="AE13" i="24" a="1"/>
  <c r="AE13" i="24" s="1"/>
  <c r="W28" i="24" a="1"/>
  <c r="W28" i="24" s="1"/>
  <c r="L18" i="24" a="1"/>
  <c r="L18" i="24" s="1"/>
  <c r="R6" i="24" a="1"/>
  <c r="R6" i="24" s="1"/>
  <c r="K18" i="24" a="1"/>
  <c r="K18" i="24" s="1"/>
  <c r="S6" i="24" a="1"/>
  <c r="S6" i="24" s="1"/>
  <c r="W30" i="24" a="1"/>
  <c r="W30" i="24" s="1"/>
  <c r="D30" i="24" a="1"/>
  <c r="D30" i="24" s="1"/>
  <c r="S13" i="24" a="1"/>
  <c r="S13" i="24" s="1"/>
  <c r="AB22" i="24" a="1"/>
  <c r="AB22" i="24" s="1"/>
  <c r="X30" i="24" a="1"/>
  <c r="X30" i="24" s="1"/>
  <c r="V30" i="24" a="1"/>
  <c r="V30" i="24" s="1"/>
  <c r="D29" i="24" a="1"/>
  <c r="D29" i="24" s="1"/>
  <c r="AI15" i="24" a="1"/>
  <c r="AI15" i="24" s="1"/>
  <c r="AB24" i="24" a="1"/>
  <c r="AB24" i="24" s="1"/>
  <c r="AF15" i="24" a="1"/>
  <c r="AF15" i="24" s="1"/>
  <c r="B29" i="24" a="1"/>
  <c r="B29" i="24" s="1"/>
  <c r="J18" i="24" a="1"/>
  <c r="J18" i="24" s="1"/>
  <c r="B30" i="24" a="1"/>
  <c r="B30" i="24" s="1"/>
  <c r="L17" i="24" a="1"/>
  <c r="L17" i="24" s="1"/>
  <c r="T5" i="24" a="1"/>
  <c r="T5" i="24" s="1"/>
  <c r="AF14" i="24" a="1"/>
  <c r="AF14" i="24" s="1"/>
  <c r="R5" i="24" a="1"/>
  <c r="R5" i="24" s="1"/>
  <c r="AJ20" i="24" a="1"/>
  <c r="AJ20" i="24" s="1"/>
  <c r="O28" i="24" a="1"/>
  <c r="O28" i="24" s="1"/>
  <c r="W12" i="24" a="1"/>
  <c r="W12" i="24" s="1"/>
  <c r="L9" i="24" a="1"/>
  <c r="L9" i="24" s="1"/>
  <c r="N30" i="24" a="1"/>
  <c r="N30" i="24" s="1"/>
  <c r="F30" i="24" a="1"/>
  <c r="F30" i="24" s="1"/>
  <c r="AI10" i="24" a="1"/>
  <c r="AI10" i="24" s="1"/>
  <c r="C10" i="24" a="1"/>
  <c r="C10" i="24" s="1"/>
  <c r="P30" i="24" a="1"/>
  <c r="P30" i="24" s="1"/>
  <c r="B12" i="24" a="1"/>
  <c r="B12" i="24" s="1"/>
  <c r="R11" i="24" a="1"/>
  <c r="R11" i="24" s="1"/>
  <c r="AE19" i="24" a="1"/>
  <c r="AE19" i="24" s="1"/>
  <c r="H30" i="24" a="1"/>
  <c r="H30" i="24" s="1"/>
  <c r="N29" i="24" a="1"/>
  <c r="N29" i="24" s="1"/>
  <c r="AE10" i="24" a="1"/>
  <c r="AE10" i="24" s="1"/>
  <c r="X18" i="24" a="1"/>
  <c r="X18" i="24" s="1"/>
  <c r="R12" i="24" a="1"/>
  <c r="R12" i="24" s="1"/>
  <c r="AF21" i="24" a="1"/>
  <c r="AF21" i="24" s="1"/>
  <c r="P28" i="24" a="1"/>
  <c r="P28" i="24" s="1"/>
  <c r="D11" i="24" a="1"/>
  <c r="D11" i="24" s="1"/>
  <c r="AF10" i="24" a="1"/>
  <c r="AF10" i="24" s="1"/>
  <c r="V18" i="24" a="1"/>
  <c r="V18" i="24" s="1"/>
  <c r="T11" i="24" a="1"/>
  <c r="T11" i="24" s="1"/>
  <c r="P29" i="24" a="1"/>
  <c r="P29" i="24" s="1"/>
  <c r="X12" i="24" a="1"/>
  <c r="X12" i="24" s="1"/>
  <c r="AF11" i="24" a="1"/>
  <c r="AF11" i="24" s="1"/>
  <c r="S12" i="24" a="1"/>
  <c r="S12" i="24" s="1"/>
  <c r="AD12" i="24" a="1"/>
  <c r="AD12" i="24" s="1"/>
  <c r="T10" i="24" a="1"/>
  <c r="T10" i="24" s="1"/>
  <c r="J21" i="24" a="1"/>
  <c r="J21" i="24" s="1"/>
  <c r="AF20" i="24" a="1"/>
  <c r="AF20" i="24" s="1"/>
  <c r="AJ11" i="24" a="1"/>
  <c r="AJ11" i="24" s="1"/>
  <c r="B11" i="24" a="1"/>
  <c r="B11" i="24" s="1"/>
  <c r="P8" i="24" a="1"/>
  <c r="P8" i="24" s="1"/>
  <c r="AF12" i="24" a="1"/>
  <c r="AF12" i="24" s="1"/>
  <c r="T14" i="24" a="1"/>
  <c r="T14" i="24" s="1"/>
  <c r="AH21" i="24" a="1"/>
  <c r="AH21" i="24" s="1"/>
  <c r="S10" i="24" a="1"/>
  <c r="S10" i="24" s="1"/>
  <c r="AD20" i="24" a="1"/>
  <c r="AD20" i="24" s="1"/>
  <c r="AH12" i="24" a="1"/>
  <c r="AH12" i="24" s="1"/>
  <c r="D12" i="24" a="1"/>
  <c r="D12" i="24" s="1"/>
  <c r="P9" i="24" a="1"/>
  <c r="P9" i="24" s="1"/>
  <c r="AH23" i="24" a="1"/>
  <c r="AH23" i="24" s="1"/>
  <c r="K21" i="24" a="1"/>
  <c r="K21" i="24" s="1"/>
  <c r="AH11" i="24" a="1"/>
  <c r="AH11" i="24" s="1"/>
  <c r="N9" i="24" a="1"/>
  <c r="N9" i="24" s="1"/>
  <c r="R14" i="24" a="1"/>
  <c r="R14" i="24" s="1"/>
  <c r="AI19" i="24" a="1"/>
  <c r="AI19" i="24" s="1"/>
  <c r="AI13" i="24" a="1"/>
  <c r="AI13" i="24" s="1"/>
  <c r="R26" i="24" a="1"/>
  <c r="R26" i="24" s="1"/>
  <c r="K9" i="24" a="1"/>
  <c r="K9" i="24" s="1"/>
  <c r="T27" i="24" a="1"/>
  <c r="T27" i="24" s="1"/>
  <c r="P19" i="24" a="1"/>
  <c r="P19" i="24" s="1"/>
  <c r="O18" i="24" a="1"/>
  <c r="O18" i="24" s="1"/>
  <c r="R27" i="24" a="1"/>
  <c r="R27" i="24" s="1"/>
  <c r="AA4" i="24" a="1"/>
  <c r="AA4" i="24" s="1"/>
  <c r="J9" i="24" a="1"/>
  <c r="J9" i="24" s="1"/>
  <c r="L26" i="24" a="1"/>
  <c r="L26" i="24" s="1"/>
  <c r="AE27" i="24" a="1"/>
  <c r="AE27" i="24" s="1"/>
  <c r="N21" i="24" a="1"/>
  <c r="N21" i="24" s="1"/>
  <c r="H5" i="24" a="1"/>
  <c r="H5" i="24" s="1"/>
  <c r="P17" i="24" a="1"/>
  <c r="P17" i="24" s="1"/>
  <c r="S25" i="24" a="1"/>
  <c r="S25" i="24" s="1"/>
  <c r="O21" i="24" a="1"/>
  <c r="O21" i="24" s="1"/>
  <c r="J5" i="24" a="1"/>
  <c r="J5" i="24" s="1"/>
  <c r="AH24" i="24" a="1"/>
  <c r="AH24" i="24" s="1"/>
  <c r="L27" i="24" a="1"/>
  <c r="L27" i="24" s="1"/>
  <c r="J8" i="24" a="1"/>
  <c r="J8" i="24" s="1"/>
  <c r="AB4" i="24" a="1"/>
  <c r="AB4" i="24" s="1"/>
  <c r="J26" i="24" a="1"/>
  <c r="J26" i="24" s="1"/>
  <c r="AD27" i="24" a="1"/>
  <c r="AD27" i="24" s="1"/>
  <c r="H6" i="24" a="1"/>
  <c r="H6" i="24" s="1"/>
  <c r="AJ14" i="24" a="1"/>
  <c r="AJ14" i="24" s="1"/>
  <c r="N17" i="24" a="1"/>
  <c r="N17" i="24" s="1"/>
  <c r="S27" i="24" a="1"/>
  <c r="S27" i="24" s="1"/>
  <c r="Z5" i="24" a="1"/>
  <c r="Z5" i="24" s="1"/>
  <c r="H10" i="24" a="1"/>
  <c r="H10" i="24" s="1"/>
  <c r="AJ13" i="24" a="1"/>
  <c r="AJ13" i="24" s="1"/>
  <c r="P16" i="24" a="1"/>
  <c r="P16" i="24" s="1"/>
  <c r="AF7" i="24" a="1"/>
  <c r="AF7" i="24" s="1"/>
  <c r="AF25" i="24" a="1"/>
  <c r="AF25" i="24" s="1"/>
  <c r="V12" i="24" a="1"/>
  <c r="V12" i="24" s="1"/>
  <c r="AB17" i="24" a="1"/>
  <c r="AB17" i="24" s="1"/>
  <c r="AH15" i="24" a="1"/>
  <c r="AH15" i="24" s="1"/>
  <c r="AF8" i="24" a="1"/>
  <c r="AF8" i="24" s="1"/>
  <c r="AA7" i="24" a="1"/>
  <c r="AA7" i="24" s="1"/>
  <c r="AH14" i="24" a="1"/>
  <c r="AH14" i="24" s="1"/>
  <c r="S19" i="24" a="1"/>
  <c r="S19" i="24" s="1"/>
  <c r="AJ24" i="24" a="1"/>
  <c r="AJ24" i="24" s="1"/>
  <c r="N5" i="24" a="1"/>
  <c r="N5" i="24" s="1"/>
  <c r="AD8" i="24" a="1"/>
  <c r="AD8" i="24" s="1"/>
  <c r="T22" i="24" a="1"/>
  <c r="T22" i="24" s="1"/>
  <c r="AJ10" i="24" a="1"/>
  <c r="AJ10" i="24" s="1"/>
  <c r="X10" i="24" a="1"/>
  <c r="X10" i="24" s="1"/>
  <c r="F5" i="24" a="1"/>
  <c r="F5" i="24" s="1"/>
  <c r="AF9" i="24" a="1"/>
  <c r="AF9" i="24" s="1"/>
  <c r="P4" i="24" a="1"/>
  <c r="P4" i="24" s="1"/>
  <c r="T24" i="24" a="1"/>
  <c r="T24" i="24" s="1"/>
  <c r="AJ6" i="24" a="1"/>
  <c r="AJ6" i="24" s="1"/>
  <c r="W10" i="24" a="1"/>
  <c r="W10" i="24" s="1"/>
  <c r="N20" i="24" a="1"/>
  <c r="N20" i="24" s="1"/>
  <c r="G6" i="24" a="1"/>
  <c r="G6" i="24" s="1"/>
  <c r="P20" i="24" a="1"/>
  <c r="P20" i="24" s="1"/>
  <c r="F6" i="24" a="1"/>
  <c r="F6" i="24" s="1"/>
  <c r="AI24" i="24" a="1"/>
  <c r="AI24" i="24" s="1"/>
  <c r="AJ22" i="24" a="1"/>
  <c r="AJ22" i="24" s="1"/>
  <c r="AE7" i="24" a="1"/>
  <c r="AE7" i="24" s="1"/>
  <c r="R23" i="24" a="1"/>
  <c r="R23" i="24" s="1"/>
  <c r="AI4" i="24" a="1"/>
  <c r="AI4" i="24" s="1"/>
  <c r="AI22" i="24" a="1"/>
  <c r="AI22" i="24" s="1"/>
  <c r="AE9" i="24" a="1"/>
  <c r="AE9" i="24" s="1"/>
  <c r="P6" i="24" a="1"/>
  <c r="P6" i="24" s="1"/>
  <c r="S24" i="24" a="1"/>
  <c r="S24" i="24" s="1"/>
  <c r="AI6" i="24" a="1"/>
  <c r="AI6" i="24" s="1"/>
  <c r="X11" i="24" a="1"/>
  <c r="X11" i="24" s="1"/>
  <c r="AB6" i="24" a="1"/>
  <c r="AB6" i="24" s="1"/>
  <c r="P21" i="24" a="1"/>
  <c r="P21" i="24" s="1"/>
  <c r="AA9" i="24" a="1"/>
  <c r="AA9" i="24" s="1"/>
  <c r="H4" i="24" a="1"/>
  <c r="H4" i="24" s="1"/>
  <c r="X8" i="24" a="1"/>
  <c r="X8" i="24" s="1"/>
  <c r="AE12" i="24" a="1"/>
  <c r="AE12" i="24" s="1"/>
  <c r="O4" i="24" a="1"/>
  <c r="O4" i="24" s="1"/>
  <c r="AA6" i="24" a="1"/>
  <c r="AA6" i="24" s="1"/>
  <c r="Z8" i="24" a="1"/>
  <c r="Z8" i="24" s="1"/>
  <c r="W9" i="24" a="1"/>
  <c r="W9" i="24" s="1"/>
  <c r="C18" i="24" a="1"/>
  <c r="C18" i="24" s="1"/>
  <c r="AB8" i="24" a="1"/>
  <c r="AB8" i="24" s="1"/>
  <c r="X17" i="24" a="1"/>
  <c r="X17" i="24" s="1"/>
  <c r="H12" i="24" a="1"/>
  <c r="H12" i="24" s="1"/>
  <c r="V17" i="24" a="1"/>
  <c r="V17" i="24" s="1"/>
  <c r="F11" i="24" a="1"/>
  <c r="F11" i="24" s="1"/>
  <c r="W16" i="24" a="1"/>
  <c r="W16" i="24" s="1"/>
  <c r="D17" i="24" a="1"/>
  <c r="D17" i="24" s="1"/>
  <c r="N8" i="24" a="1"/>
  <c r="N8" i="24" s="1"/>
  <c r="O9" i="24" a="1"/>
  <c r="O9" i="24" s="1"/>
  <c r="B18" i="24" a="1"/>
  <c r="B18" i="24" s="1"/>
  <c r="O7" i="24" a="1"/>
  <c r="O7" i="24" s="1"/>
  <c r="G10" i="24" a="1"/>
  <c r="G10" i="24" s="1"/>
  <c r="D18" i="24" a="1"/>
  <c r="D18" i="24" s="1"/>
  <c r="AI21" i="24" a="1"/>
  <c r="AI21" i="24" s="1"/>
  <c r="T30" i="24" a="1"/>
  <c r="T30" i="24" s="1"/>
  <c r="F12" i="24" a="1"/>
  <c r="F12" i="24" s="1"/>
  <c r="D16" i="24" a="1"/>
  <c r="D16" i="24" s="1"/>
  <c r="AJ21" i="24" a="1"/>
  <c r="AJ21" i="24" s="1"/>
  <c r="N27" i="24" a="1"/>
  <c r="N27" i="24" s="1"/>
  <c r="V9" i="24" a="1"/>
  <c r="V9" i="24" s="1"/>
  <c r="AH20" i="24" a="1"/>
  <c r="AH20" i="24" s="1"/>
  <c r="H22" i="24" a="1"/>
  <c r="H22" i="24" s="1"/>
  <c r="AA22" i="24" a="1"/>
  <c r="AA22" i="24" s="1"/>
  <c r="G22" i="24" a="1"/>
  <c r="G22" i="24" s="1"/>
  <c r="AA24" i="24" a="1"/>
  <c r="AA24" i="24" s="1"/>
  <c r="H24" i="24" a="1"/>
  <c r="H24" i="24" s="1"/>
  <c r="X27" i="24" a="1"/>
  <c r="X27" i="24" s="1"/>
  <c r="G24" i="24" a="1"/>
  <c r="G24" i="24" s="1"/>
  <c r="H11" i="24" a="1"/>
  <c r="H11" i="24" s="1"/>
  <c r="R30" i="24" a="1"/>
  <c r="R30" i="24" s="1"/>
  <c r="AD30" i="24" a="1"/>
  <c r="AD30" i="24" s="1"/>
  <c r="X25" i="24" a="1"/>
  <c r="X25" i="24" s="1"/>
  <c r="V27" i="24" a="1"/>
  <c r="V27" i="24" s="1"/>
  <c r="V26" i="24" a="1"/>
  <c r="V26" i="24" s="1"/>
  <c r="AE30" i="24" a="1"/>
  <c r="AE30" i="24" s="1"/>
  <c r="W27" i="24" a="1"/>
  <c r="W27" i="24" s="1"/>
  <c r="R20" i="24" a="1"/>
  <c r="R20" i="24" s="1"/>
  <c r="T19" i="24" a="1"/>
  <c r="T19" i="24" s="1"/>
  <c r="X16" i="24" a="1"/>
  <c r="X16" i="24" s="1"/>
  <c r="N26" i="24" a="1"/>
  <c r="N26" i="24" s="1"/>
  <c r="S28" i="24" a="1"/>
  <c r="S28" i="24" s="1"/>
  <c r="O27" i="24" a="1"/>
  <c r="O27" i="24" s="1"/>
  <c r="T21" i="24" a="1"/>
  <c r="T21" i="24" s="1"/>
  <c r="P26" i="24" a="1"/>
  <c r="P26" i="24" s="1"/>
  <c r="AF28" i="24" a="1"/>
  <c r="AF28" i="24" s="1"/>
  <c r="S21" i="24" a="1"/>
  <c r="S21" i="24" s="1"/>
  <c r="P25" i="24" a="1"/>
  <c r="P25" i="24" s="1"/>
  <c r="R21" i="24" a="1"/>
  <c r="R21" i="24" s="1"/>
  <c r="O25" i="24" a="1"/>
  <c r="O25" i="24" s="1"/>
  <c r="AJ29" i="24" a="1"/>
  <c r="AJ29" i="24" s="1"/>
  <c r="AJ28" i="24" a="1"/>
  <c r="AJ28" i="24" s="1"/>
  <c r="S30" i="24" a="1"/>
  <c r="S30" i="24" s="1"/>
  <c r="AJ30" i="24" a="1"/>
  <c r="AJ30" i="24" s="1"/>
  <c r="T28" i="24" a="1"/>
  <c r="T28" i="24" s="1"/>
  <c r="AH29" i="24" a="1"/>
  <c r="AH29" i="24" s="1"/>
  <c r="T29" i="24" a="1"/>
  <c r="T29" i="24" s="1"/>
  <c r="AE28" i="24" a="1"/>
  <c r="AE28" i="24" s="1"/>
  <c r="N28" i="24" a="1"/>
  <c r="N28" i="24" s="1"/>
  <c r="AI28" i="24" a="1"/>
  <c r="AI28" i="24" s="1"/>
  <c r="AH30" i="24" a="1"/>
  <c r="AH30" i="24" s="1"/>
  <c r="AD29" i="24" a="1"/>
  <c r="AD29" i="24" s="1"/>
  <c r="X26" i="24" a="1"/>
  <c r="X26" i="24" s="1"/>
  <c r="AF30" i="24" a="1"/>
  <c r="AF30" i="24" s="1"/>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<sst xmlns="http://schemas.openxmlformats.org/spreadsheetml/2006/main" count="903" uniqueCount="638">
  <si>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</si>
  <si>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</si>
  <si>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</si>
  <si>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</si>
  <si>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</si>
  <si>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</si>
  <si>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</si>
  <si>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</si>
  <si>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</si>
  <si>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</si>
  <si>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</si>
  <si>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</si>
  <si>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</si>
  <si>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</si>
  <si>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</si>
  <si>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</si>
  <si>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</si>
  <si>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</si>
  <si>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</si>
  <si>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</si>
  <si>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</si>
  <si>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</si>
  <si>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</si>
  <si>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</si>
  <si>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</si>
  <si>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</si>
  <si>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</si>
  <si>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</si>
  <si>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</si>
  <si>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</si>
  <si>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</si>
  <si>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</si>
  <si>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</si>
  <si>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</si>
  <si>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</si>
  <si>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</si>
  <si>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</si>
  <si>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</si>
  <si>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</si>
  <si>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</si>
  <si>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</si>
  <si>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</si>
  <si>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</si>
  <si>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</si>
  <si>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</si>
  <si>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</si>
  <si>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</si>
  <si>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</si>
  <si>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</si>
  <si>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</si>
  <si>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</si>
  <si>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</si>
  <si>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</si>
  <si>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</si>
  <si>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</si>
  <si>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</si>
  <si>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</si>
  <si>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</si>
  <si>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</si>
  <si>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</si>
  <si>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</si>
  <si>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</si>
  <si>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</si>
  <si>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</si>
  <si>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</si>
  <si>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</si>
  <si>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</si>
  <si>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</si>
  <si>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</si>
  <si>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</si>
  <si>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</si>
  <si>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</si>
  <si>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</si>
  <si>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</si>
  <si>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</si>
  <si>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</si>
  <si>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</si>
  <si>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</si>
  <si>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</si>
  <si>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</si>
  <si>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</si>
  <si>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</si>
  <si>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</si>
  <si>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</si>
  <si>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</si>
  <si>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</si>
  <si>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</si>
  <si>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</si>
  <si>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</si>
  <si>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</si>
  <si>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</si>
  <si>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</si>
  <si>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</si>
  <si>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</si>
  <si>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</si>
  <si>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</si>
  <si>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</si>
  <si>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</si>
  <si>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</si>
  <si>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</si>
  <si>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</si>
  <si>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</si>
  <si>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</si>
  <si>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</si>
  <si>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</si>
  <si>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</si>
  <si>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</si>
  <si>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</si>
  <si>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</si>
  <si>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</si>
  <si>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</si>
  <si>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</si>
  <si>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</si>
  <si>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</si>
  <si>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</si>
  <si>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</si>
  <si>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</si>
  <si>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</si>
  <si>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</si>
  <si>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</si>
  <si>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</si>
  <si>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</si>
  <si>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</si>
  <si>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</si>
  <si>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</si>
  <si>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</si>
  <si>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</si>
  <si>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</si>
  <si>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</si>
  <si>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</si>
  <si>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</si>
  <si>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</si>
  <si>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</si>
  <si>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</si>
  <si>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</si>
  <si>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</si>
  <si>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</si>
  <si>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</si>
  <si>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</si>
  <si>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</si>
  <si>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</si>
  <si>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</si>
  <si>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</si>
  <si>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</si>
  <si>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</si>
  <si>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</si>
  <si>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</si>
  <si>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</si>
  <si>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</si>
  <si>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</si>
  <si>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</si>
  <si>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</si>
  <si>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</si>
  <si>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</si>
  <si>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</si>
  <si>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</si>
  <si>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</si>
  <si>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</si>
  <si>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</si>
  <si>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</si>
  <si>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</si>
  <si>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</si>
  <si>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</si>
  <si>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</si>
  <si>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</si>
  <si>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</si>
  <si>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</si>
  <si>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</si>
  <si>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</si>
  <si>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</si>
  <si>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</si>
  <si>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</si>
  <si>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</si>
  <si>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</si>
  <si>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</si>
  <si>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</si>
  <si>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</si>
  <si>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</si>
  <si>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</si>
  <si>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</si>
  <si>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</si>
  <si>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</si>
  <si>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</si>
  <si>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</si>
  <si>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</si>
  <si>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</si>
  <si>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</si>
  <si>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</si>
  <si>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</si>
  <si>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</si>
  <si>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</si>
  <si>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</si>
  <si>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</si>
  <si>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</si>
  <si>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</si>
  <si>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</si>
  <si>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</si>
  <si>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</si>
  <si>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</si>
  <si>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</si>
  <si>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</si>
  <si>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</si>
  <si>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</si>
  <si>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</si>
  <si>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</si>
  <si>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</si>
  <si>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</si>
  <si>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</si>
  <si>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</si>
  <si>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</si>
  <si>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</si>
  <si>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</si>
  <si>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</si>
  <si>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</si>
  <si>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</si>
  <si>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</si>
  <si>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</si>
  <si>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</si>
  <si>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</si>
  <si>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</si>
  <si>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</si>
  <si>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</si>
  <si>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</si>
  <si>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</si>
  <si>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</si>
  <si>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</si>
  <si>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</si>
  <si>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</si>
  <si>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</si>
  <si>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</si>
  <si>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</si>
  <si>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</si>
  <si>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</si>
  <si>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</si>
  <si>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</si>
  <si>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</si>
  <si>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</si>
  <si>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</si>
  <si>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</si>
  <si>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</si>
  <si>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</si>
  <si>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</si>
  <si>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</si>
  <si>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</si>
  <si>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</si>
  <si>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</si>
  <si>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</si>
  <si>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</si>
  <si>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</si>
  <si>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</si>
  <si>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</si>
  <si>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</si>
  <si>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</si>
  <si>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</si>
  <si>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</si>
  <si>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</si>
  <si>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</si>
  <si>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</si>
  <si>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</si>
  <si>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</si>
  <si>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</si>
  <si>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</si>
  <si>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</si>
  <si>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</si>
  <si>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</si>
  <si>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</si>
  <si>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</si>
  <si>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</si>
  <si>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</si>
  <si>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</si>
  <si>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</si>
  <si>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</si>
  <si>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</si>
  <si>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</si>
  <si>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</si>
  <si>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</si>
  <si>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</si>
  <si>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</si>
  <si>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</si>
  <si>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</si>
  <si>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</si>
  <si>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</si>
  <si>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</si>
  <si>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</si>
  <si>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</si>
  <si>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</si>
  <si>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</si>
  <si>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</si>
  <si>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</si>
  <si>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</si>
  <si>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</si>
  <si>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</si>
  <si>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</si>
  <si>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</si>
  <si>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</si>
  <si>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</si>
  <si>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</si>
  <si>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</si>
  <si>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</si>
  <si>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</si>
  <si>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</si>
  <si>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</si>
  <si>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</si>
  <si>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</si>
  <si>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</si>
  <si>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</si>
  <si>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</si>
  <si>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</si>
  <si>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</si>
  <si>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</si>
  <si>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</si>
  <si>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</si>
  <si>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</si>
  <si>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</si>
  <si>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</si>
  <si>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</si>
  <si>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</si>
  <si>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</si>
  <si>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</si>
  <si>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</si>
  <si>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</si>
  <si>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</si>
  <si>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</si>
  <si>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</si>
  <si>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</si>
  <si>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</si>
  <si>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</si>
  <si>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</si>
  <si>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</si>
  <si>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</si>
  <si>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</si>
  <si>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</si>
  <si>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</si>
  <si>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</si>
  <si>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</si>
  <si>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</si>
  <si>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</si>
  <si>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</si>
  <si>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</si>
  <si>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</si>
  <si>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</si>
  <si>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</si>
  <si>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</si>
  <si>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</si>
  <si>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</si>
  <si>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</si>
  <si>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</si>
  <si>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</si>
  <si>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</si>
  <si>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</si>
  <si>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</si>
  <si>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</si>
  <si>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</si>
  <si>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</si>
  <si>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</si>
  <si>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</si>
  <si>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</si>
  <si>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</si>
  <si>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</si>
  <si>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</si>
  <si>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</si>
  <si>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</si>
  <si>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</si>
  <si>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</si>
  <si>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</si>
  <si>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</si>
  <si>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</si>
  <si>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</si>
  <si>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</si>
  <si>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</si>
  <si>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</si>
  <si>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</si>
  <si>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</si>
  <si>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</si>
  <si>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</si>
  <si>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</si>
  <si>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</si>
  <si>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</si>
  <si>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</si>
  <si>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</si>
  <si>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</si>
  <si>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</si>
  <si>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</si>
  <si>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</si>
  <si>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</si>
  <si>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</si>
  <si>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</si>
  <si>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</si>
  <si>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</si>
  <si>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</si>
  <si>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</si>
  <si>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</si>
  <si>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</si>
  <si>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</si>
  <si>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</si>
  <si>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</si>
  <si>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</si>
  <si>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</si>
  <si>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</si>
  <si>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</si>
  <si>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</si>
  <si>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</si>
  <si>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</si>
  <si>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</si>
  <si>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</si>
  <si>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</si>
  <si>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</si>
  <si>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</si>
  <si>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</si>
  <si>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</si>
  <si>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</si>
  <si>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</si>
  <si>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</si>
  <si>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</si>
  <si>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</si>
  <si>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</si>
  <si>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</si>
  <si>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</si>
  <si>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</si>
  <si>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</si>
  <si>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</si>
  <si>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</si>
  <si>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</si>
  <si>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</si>
  <si>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</si>
  <si>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</si>
  <si>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</si>
  <si>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</si>
  <si>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</si>
  <si>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</si>
  <si>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</si>
  <si>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</si>
  <si>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</si>
  <si>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</si>
  <si>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</si>
  <si>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</si>
  <si>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</si>
  <si>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</si>
  <si>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</si>
  <si>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</si>
  <si>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</si>
  <si>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</si>
  <si>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</si>
  <si>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</si>
  <si>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</si>
  <si>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</si>
  <si>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</si>
  <si>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</si>
  <si>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</si>
  <si>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</si>
  <si>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</si>
  <si>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</si>
  <si>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</si>
  <si>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</si>
  <si>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</si>
  <si>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</si>
  <si>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</si>
  <si>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</si>
  <si>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</si>
  <si>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</si>
  <si>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</si>
  <si>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</si>
  <si>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</si>
  <si>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</si>
  <si>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</si>
  <si>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</si>
  <si>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</si>
  <si>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</si>
  <si>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</si>
  <si>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</si>
  <si>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</si>
  <si>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</si>
  <si>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</si>
  <si>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</si>
  <si>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</si>
  <si>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</si>
  <si>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</si>
  <si>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</si>
  <si>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</si>
  <si>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</si>
  <si>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</si>
  <si>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</si>
  <si>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</si>
  <si>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</si>
  <si>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</si>
  <si>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</si>
  <si>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</si>
  <si>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</si>
  <si>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</si>
  <si>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</si>
  <si>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</si>
  <si>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</si>
  <si>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</si>
  <si>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</si>
  <si>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</si>
  <si>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</si>
  <si>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</si>
  <si>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</si>
  <si>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</si>
  <si>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</si>
  <si>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</si>
  <si>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</si>
  <si>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</si>
  <si>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</si>
  <si>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</si>
  <si>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</si>
  <si>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</si>
  <si>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</si>
  <si>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</si>
  <si>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</si>
  <si>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</si>
  <si>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</si>
  <si>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</si>
  <si>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</si>
  <si>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</si>
  <si>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</si>
  <si>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</si>
  <si>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</si>
  <si>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</si>
  <si>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</si>
  <si>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</si>
  <si>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</si>
  <si>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</si>
  <si>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</si>
  <si>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</si>
  <si>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</si>
  <si>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</si>
  <si>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</si>
  <si>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</si>
  <si>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</si>
  <si>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</si>
  <si>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</si>
  <si>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</si>
  <si>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</si>
  <si>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</si>
  <si>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</si>
  <si>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</si>
  <si>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</si>
  <si>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</si>
  <si>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</si>
  <si>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</si>
  <si>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</si>
  <si>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</si>
  <si>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</si>
  <si>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</si>
  <si>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</si>
  <si>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</si>
  <si>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</si>
  <si>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</si>
  <si>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</si>
  <si>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</si>
  <si>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</si>
  <si>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</si>
  <si>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</si>
  <si>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</si>
  <si>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</si>
  <si>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</si>
  <si>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</si>
  <si>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</si>
  <si>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</si>
  <si>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</si>
  <si>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</si>
  <si>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</si>
  <si>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</si>
  <si>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</si>
  <si>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</si>
  <si>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</si>
  <si>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</si>
  <si>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</si>
  <si>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</si>
  <si>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</si>
  <si>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</si>
  <si>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</si>
  <si>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</si>
  <si>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</si>
  <si>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</si>
  <si>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</si>
  <si>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</si>
  <si>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</si>
  <si>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</si>
  <si>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</si>
  <si>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</si>
  <si>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</si>
  <si>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</si>
  <si>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</si>
  <si>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</si>
  <si>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</si>
  <si>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</si>
  <si>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</si>
  <si>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</si>
  <si>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</si>
  <si>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</si>
  <si>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</si>
  <si>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</si>
  <si>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</si>
  <si>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</si>
  <si>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</si>
  <si>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</si>
  <si>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</si>
  <si>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</si>
  <si>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</si>
  <si>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</si>
  <si>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</si>
  <si>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</si>
  <si>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</si>
  <si>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</si>
  <si>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</si>
  <si>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</si>
  <si>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</si>
  <si>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</si>
  <si>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</si>
  <si>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</si>
  <si>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</si>
  <si>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</si>
  <si>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</si>
  <si>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</si>
  <si>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</si>
  <si>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</si>
  <si>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</si>
  <si>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</si>
  <si>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</si>
  <si>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</si>
  <si>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</si>
  <si>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</si>
  <si>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</si>
  <si>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</si>
  <si>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</si>
  <si>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Prototype Candidate Chain</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</si>
  <si>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</si>
  <si>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</si>
  <si>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</si>
  <si>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</si>
  <si>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</si>
  <si>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</si>
  <si>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</si>
  <si>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All published engines use player-safe Coach paths</t>
  </si>
  <si>
    <t>Four standard wrappers plus Master shared-chain fallback contract</t>
  </si>
  <si>
    <t>Pointing-column step exposes structured action fields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</si>
</sst>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4" fillId="0" borderId="0" xfId="0" applyFont="1" applyAlignment="1">
      <alignment vertical="top" indent="1"/>
    </xf>
    <xf numFmtId="0" fontId="45" fillId="0" borderId="0" xfId="0" applyFont="1" applyAlignment="1">
      <alignment vertical="top" indent="1"/>
    </xf>
    <xf numFmtId="0" fontId="47" fillId="0" borderId="0" xfId="0" applyFont="1" applyAlignment="1">
      <alignment vertical="top" indent="1"/>
    </xf>
    <xf numFmtId="0" fontId="48" fillId="0" borderId="0" xfId="0" applyFont="1" applyAlignment="1">
      <alignment vertical="top" indent="1"/>
    </xf>
    <xf numFmtId="0" fontId="11" fillId="2" borderId="0" xfId="0" applyFont="1" applyFill="1" applyAlignment="1">
      <alignment horizontal="left" vertical="center" indent="1"/>
    </xf>
    <xf numFmtId="0" fontId="41" fillId="0" borderId="0" xfId="0" applyFont="1" applyAlignment="1"/>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6" fillId="0" borderId="0" xfId="0" applyFont="1" applyAlignment="1">
      <alignment vertical="top" indent="1"/>
    </xf>
    <xf numFmtId="0" fontId="46" fillId="0" borderId="0" xfId="0" applyFont="1">
      <alignment vertical="center"/>
    </xf>
    <xf numFmtId="0" fontId="44" fillId="0" borderId="0" xfId="0" applyFont="1">
      <alignment vertical="center"/>
    </xf>
    <xf numFmtId="0" fontId="46" fillId="0" borderId="35" xfId="0" applyFont="1" applyBorder="1">
      <alignment vertical="center"/>
    </xf>
    <xf numFmtId="0" fontId="49" fillId="0" borderId="35" xfId="1" applyFont="1" applyBorder="1">
      <alignment vertical="center"/>
    </xf>
    <xf numFmtId="0" fontId="44" fillId="0" borderId="35" xfId="0" applyFont="1" applyBorder="1">
      <alignment vertical="center"/>
    </xf>
    <xf numFmtId="0" fontId="40" fillId="0" borderId="0" xfId="1" applyFont="1" applyBorder="1">
      <alignment vertical="center"/>
    </xf>
    <xf numFmtId="0" fontId="41" fillId="0" borderId="0" xfId="0" applyFont="1">
      <alignment vertical="center"/>
    </xf>
    <xf numFmtId="0" fontId="42"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3" fillId="0" borderId="0" xfId="0" applyFont="1">
      <alignment vertical="center"/>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6" fillId="0" borderId="34" xfId="0" applyFont="1" applyBorder="1">
      <alignment vertical="center"/>
    </xf>
    <xf numFmtId="0" fontId="44" fillId="0" borderId="34" xfId="0" applyFont="1" applyBorder="1">
      <alignment vertical="center"/>
    </xf>
    <xf numFmtId="176" fontId="49" fillId="0" borderId="35" xfId="1" applyNumberFormat="1" applyFont="1" applyBorder="1">
      <alignment vertical="center"/>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0" xfId="0" applyFont="1" applyAlignment="1">
      <alignment horizontal="left" vertical="center" wrapText="1"/>
    </xf>
    <xf numFmtId="0" fontId="8" fillId="0" borderId="12" xfId="0" applyFont="1" applyBorder="1" applyAlignment="1">
      <alignment horizontal="left" vertical="center" wrapText="1"/>
    </xf>
    <xf numFmtId="0" fontId="15" fillId="0" borderId="13" xfId="0" applyFont="1" applyBorder="1" applyAlignment="1">
      <alignment horizontal="left" vertical="center" wrapText="1"/>
    </xf>
    <xf numFmtId="0" fontId="16" fillId="0" borderId="0" xfId="0" applyFont="1" applyAlignment="1">
      <alignment horizontal="left" vertical="center" wrapText="1"/>
    </xf>
    <xf numFmtId="0" fontId="10" fillId="0" borderId="0" xfId="0" applyFont="1" applyAlignment="1">
      <alignment horizontal="left" vertical="center" wrapTex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26503BE-2C21-094A-90D1-6A331FD31723}">
  <we:reference id="wa200010215" version="2.0.0.0" store="en-US" storeType="OMEX"/>
  <we:alternateReferences>
    <we:reference id="WA200010215" version="2.0.0.0" store="" storeType="OMEX"/>
  </we:alternateReferences>
  <we:properties>
    <we:property name="bps.codex_control.document_id" value="&quot;d2756971-ce80-4bd8-b71b-58d5c4d6254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74" t="s">
        <v>550</v>
      </c>
      <c r="B1" s="75"/>
      <c r="C1" s="75"/>
      <c r="D1" s="75"/>
      <c r="E1" s="75"/>
      <c r="F1" s="75"/>
      <c r="G1" s="75"/>
      <c r="H1" s="75"/>
      <c r="I1" s="75"/>
      <c r="J1" s="75"/>
    </row>
    <row r="2" spans="1:10" ht="24" customHeight="1">
      <c r="A2" s="76" t="s">
        <v>570</v>
      </c>
      <c r="B2" s="76"/>
      <c r="C2" s="76"/>
      <c r="D2" s="76"/>
      <c r="E2" s="76"/>
      <c r="F2" s="76"/>
      <c r="G2" s="76"/>
      <c r="H2" s="76"/>
      <c r="I2" s="76"/>
      <c r="J2" s="76"/>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7" t="str">
        <f>HYPERLINK("#'01 Easy'!B1","01 EASY")</f>
        <v>01 EASY</v>
      </c>
      <c r="B5" s="88"/>
      <c r="C5" s="88"/>
      <c r="D5" s="89" t="s">
        <v>167</v>
      </c>
      <c r="E5" s="89"/>
      <c r="F5" s="90" t="s">
        <v>168</v>
      </c>
      <c r="G5" s="90"/>
      <c r="H5" s="90"/>
      <c r="I5" s="90"/>
      <c r="J5" s="90"/>
    </row>
    <row r="6" spans="1:10" ht="25" customHeight="1">
      <c r="A6" s="91" t="str">
        <f>HYPERLINK("#'02 Medium'!B1","02 MEDIUM")</f>
        <v>02 MEDIUM</v>
      </c>
      <c r="B6" s="92"/>
      <c r="C6" s="92"/>
      <c r="D6" s="93" t="s">
        <v>169</v>
      </c>
      <c r="E6" s="93"/>
      <c r="F6" s="94" t="s">
        <v>170</v>
      </c>
      <c r="G6" s="94"/>
      <c r="H6" s="94"/>
      <c r="I6" s="94"/>
      <c r="J6" s="94"/>
    </row>
    <row r="7" spans="1:10" ht="25" customHeight="1">
      <c r="A7" s="91" t="str">
        <f>HYPERLINK("#'03 Hard'!B1","03 HARD")</f>
        <v>03 HARD</v>
      </c>
      <c r="B7" s="92"/>
      <c r="C7" s="92"/>
      <c r="D7" s="93" t="s">
        <v>171</v>
      </c>
      <c r="E7" s="93"/>
      <c r="F7" s="94" t="s">
        <v>172</v>
      </c>
      <c r="G7" s="94"/>
      <c r="H7" s="94"/>
      <c r="I7" s="94"/>
      <c r="J7" s="94"/>
    </row>
    <row r="8" spans="1:10" ht="25" customHeight="1">
      <c r="A8" s="91" t="str">
        <f>HYPERLINK("#'04 Expert'!B1","04 EXPERT")</f>
        <v>04 EXPERT</v>
      </c>
      <c r="B8" s="92"/>
      <c r="C8" s="92"/>
      <c r="D8" s="93" t="s">
        <v>173</v>
      </c>
      <c r="E8" s="93"/>
      <c r="F8" s="94" t="s">
        <v>174</v>
      </c>
      <c r="G8" s="94"/>
      <c r="H8" s="94"/>
      <c r="I8" s="94"/>
      <c r="J8" s="94"/>
    </row>
    <row r="9" spans="1:10" ht="25" customHeight="1">
      <c r="A9" s="77" t="str">
        <f>HYPERLINK("#'05 Master'!B1","05 MASTER")</f>
        <v>05 MASTER</v>
      </c>
      <c r="B9" s="78"/>
      <c r="C9" s="78"/>
      <c r="D9" s="79" t="s">
        <v>175</v>
      </c>
      <c r="E9" s="79"/>
      <c r="F9" s="80" t="s">
        <v>176</v>
      </c>
      <c r="G9" s="80"/>
      <c r="H9" s="80"/>
      <c r="I9" s="80"/>
      <c r="J9" s="80"/>
    </row>
    <row r="10" spans="1:10" ht="20" customHeight="1">
      <c r="A10" s="72" t="s">
        <v>581</v>
      </c>
      <c r="B10" s="72"/>
      <c r="C10" s="72"/>
      <c r="D10" s="72"/>
      <c r="E10" s="72"/>
      <c r="F10" s="72"/>
      <c r="G10" s="72"/>
      <c r="H10" s="72"/>
      <c r="I10" s="72"/>
      <c r="J10" s="72"/>
    </row>
    <row r="11" spans="1:10" ht="30" customHeight="1">
      <c r="A11" s="68" t="s">
        <v>582</v>
      </c>
      <c r="B11" s="68"/>
      <c r="C11" s="68"/>
      <c r="D11" s="68"/>
      <c r="E11" s="68"/>
      <c r="F11" s="68"/>
      <c r="G11" s="68"/>
      <c r="H11" s="68"/>
      <c r="I11" s="68"/>
      <c r="J11" s="68"/>
    </row>
    <row r="12" spans="1:10" ht="20" customHeight="1">
      <c r="A12" s="72" t="s">
        <v>177</v>
      </c>
      <c r="B12" s="72"/>
      <c r="C12" s="72"/>
      <c r="D12" s="72"/>
      <c r="E12" s="72"/>
      <c r="F12" s="72"/>
      <c r="G12" s="72"/>
      <c r="H12" s="72"/>
      <c r="I12" s="72"/>
      <c r="J12" s="72"/>
    </row>
    <row r="13" spans="1:10" ht="20" customHeight="1">
      <c r="A13" s="73" t="s">
        <v>178</v>
      </c>
      <c r="B13" s="73"/>
      <c r="C13" s="73"/>
      <c r="D13" s="73"/>
      <c r="E13" s="73"/>
      <c r="F13" s="73"/>
      <c r="G13" s="73"/>
      <c r="H13" s="73"/>
      <c r="I13" s="73"/>
      <c r="J13" s="73"/>
    </row>
    <row r="14" spans="1:10" ht="26" customHeight="1">
      <c r="A14" s="68" t="s">
        <v>554</v>
      </c>
      <c r="B14" s="68"/>
      <c r="C14" s="68"/>
      <c r="D14" s="68"/>
      <c r="E14" s="68"/>
      <c r="F14" s="68"/>
      <c r="G14" s="68"/>
      <c r="H14" s="68"/>
      <c r="I14" s="68"/>
      <c r="J14" s="68"/>
    </row>
    <row r="15" spans="1:10" ht="20" customHeight="1">
      <c r="A15" s="73" t="s">
        <v>179</v>
      </c>
      <c r="B15" s="73"/>
      <c r="C15" s="73"/>
      <c r="D15" s="73"/>
      <c r="E15" s="73"/>
      <c r="F15" s="73"/>
      <c r="G15" s="73"/>
      <c r="H15" s="73"/>
      <c r="I15" s="73"/>
      <c r="J15" s="73"/>
    </row>
    <row r="16" spans="1:10" ht="26" customHeight="1">
      <c r="A16" s="68" t="s">
        <v>555</v>
      </c>
      <c r="B16" s="68"/>
      <c r="C16" s="68"/>
      <c r="D16" s="68"/>
      <c r="E16" s="68"/>
      <c r="F16" s="68"/>
      <c r="G16" s="68"/>
      <c r="H16" s="68"/>
      <c r="I16" s="68"/>
      <c r="J16" s="68"/>
    </row>
    <row r="17" spans="1:10" ht="20" customHeight="1">
      <c r="A17" s="73" t="s">
        <v>180</v>
      </c>
      <c r="B17" s="73"/>
      <c r="C17" s="73"/>
      <c r="D17" s="73"/>
      <c r="E17" s="73"/>
      <c r="F17" s="73"/>
      <c r="G17" s="73"/>
      <c r="H17" s="73"/>
      <c r="I17" s="73"/>
      <c r="J17" s="73"/>
    </row>
    <row r="18" spans="1:10" ht="30" customHeight="1">
      <c r="A18" s="68" t="s">
        <v>583</v>
      </c>
      <c r="B18" s="69"/>
      <c r="C18" s="69"/>
      <c r="D18" s="69"/>
      <c r="E18" s="69"/>
      <c r="F18" s="69"/>
      <c r="G18" s="69"/>
      <c r="H18" s="69"/>
      <c r="I18" s="69"/>
      <c r="J18" s="69"/>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81" t="s">
        <v>571</v>
      </c>
      <c r="B21" s="81"/>
      <c r="C21" s="81"/>
      <c r="D21" s="81"/>
      <c r="E21" s="81"/>
      <c r="F21" s="81"/>
      <c r="G21" s="81"/>
      <c r="H21" s="81"/>
      <c r="I21" s="81"/>
      <c r="J21" s="81"/>
    </row>
    <row r="22" spans="1:10" ht="22" customHeight="1">
      <c r="A22" s="81" t="s">
        <v>572</v>
      </c>
      <c r="B22" s="81"/>
      <c r="C22" s="81"/>
      <c r="D22" s="81"/>
      <c r="E22" s="81"/>
      <c r="F22" s="81"/>
      <c r="G22" s="81"/>
      <c r="H22" s="81"/>
      <c r="I22" s="81"/>
      <c r="J22" s="81"/>
    </row>
    <row r="23" spans="1:10" ht="22" customHeight="1">
      <c r="A23" s="68" t="s">
        <v>573</v>
      </c>
      <c r="B23" s="69"/>
      <c r="C23" s="69"/>
      <c r="D23" s="69"/>
      <c r="E23" s="69"/>
      <c r="F23" s="69"/>
      <c r="G23" s="69"/>
      <c r="H23" s="69"/>
      <c r="I23" s="69"/>
      <c r="J23" s="69"/>
    </row>
    <row r="24" spans="1:10" ht="22" customHeight="1">
      <c r="A24" s="68" t="s">
        <v>574</v>
      </c>
      <c r="B24" s="69"/>
      <c r="C24" s="69"/>
      <c r="D24" s="69"/>
      <c r="E24" s="69"/>
      <c r="F24" s="69"/>
      <c r="G24" s="69"/>
      <c r="H24" s="69"/>
      <c r="I24" s="69"/>
      <c r="J24" s="69"/>
    </row>
    <row r="25" spans="1:10" ht="22" customHeight="1">
      <c r="A25" s="68" t="s">
        <v>575</v>
      </c>
      <c r="B25" s="69"/>
      <c r="C25" s="69"/>
      <c r="D25" s="69"/>
      <c r="E25" s="69"/>
      <c r="F25" s="69"/>
      <c r="G25" s="69"/>
      <c r="H25" s="69"/>
      <c r="I25" s="69"/>
      <c r="J25" s="69"/>
    </row>
    <row r="26" spans="1:10" ht="28" customHeight="1">
      <c r="A26" s="68" t="s">
        <v>576</v>
      </c>
      <c r="B26" s="69"/>
      <c r="C26" s="69"/>
      <c r="D26" s="69"/>
      <c r="E26" s="69"/>
      <c r="F26" s="69"/>
      <c r="G26" s="69"/>
      <c r="H26" s="69"/>
      <c r="I26" s="69"/>
      <c r="J26" s="69"/>
    </row>
    <row r="27" spans="1:10" ht="34" customHeight="1">
      <c r="A27" s="70" t="s">
        <v>556</v>
      </c>
      <c r="B27" s="71"/>
      <c r="C27" s="71"/>
      <c r="D27" s="71"/>
      <c r="E27" s="71"/>
      <c r="F27" s="71"/>
      <c r="G27" s="71"/>
      <c r="H27" s="71"/>
      <c r="I27" s="71"/>
      <c r="J27" s="71"/>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68" t="s">
        <v>557</v>
      </c>
      <c r="B30" s="68"/>
      <c r="C30" s="68"/>
      <c r="D30" s="68"/>
      <c r="E30" s="68"/>
      <c r="F30" s="68"/>
      <c r="G30" s="68"/>
      <c r="H30" s="68"/>
      <c r="I30" s="68"/>
      <c r="J30" s="68"/>
    </row>
    <row r="31" spans="1:10" ht="24" customHeight="1">
      <c r="A31" s="68" t="s">
        <v>558</v>
      </c>
      <c r="B31" s="68"/>
      <c r="C31" s="68"/>
      <c r="D31" s="68"/>
      <c r="E31" s="68"/>
      <c r="F31" s="68"/>
      <c r="G31" s="68"/>
      <c r="H31" s="68"/>
      <c r="I31" s="68"/>
      <c r="J31" s="68"/>
    </row>
    <row r="32" spans="1:10" ht="24" customHeight="1">
      <c r="A32" s="68" t="s">
        <v>559</v>
      </c>
      <c r="B32" s="68"/>
      <c r="C32" s="68"/>
      <c r="D32" s="68"/>
      <c r="E32" s="68"/>
      <c r="F32" s="68"/>
      <c r="G32" s="68"/>
      <c r="H32" s="68"/>
      <c r="I32" s="68"/>
      <c r="J32" s="68"/>
    </row>
    <row r="33" spans="1:10" ht="24" customHeight="1">
      <c r="A33" s="68" t="s">
        <v>560</v>
      </c>
      <c r="B33" s="69"/>
      <c r="C33" s="69"/>
      <c r="D33" s="69"/>
      <c r="E33" s="69"/>
      <c r="F33" s="69"/>
      <c r="G33" s="69"/>
      <c r="H33" s="69"/>
      <c r="I33" s="69"/>
      <c r="J33" s="69"/>
    </row>
    <row r="34" spans="1:10" ht="30" customHeight="1">
      <c r="A34" s="68" t="s">
        <v>561</v>
      </c>
      <c r="B34" s="69"/>
      <c r="C34" s="69"/>
      <c r="D34" s="69"/>
      <c r="E34" s="69"/>
      <c r="F34" s="69"/>
      <c r="G34" s="69"/>
      <c r="H34" s="69"/>
      <c r="I34" s="69"/>
      <c r="J34" s="69"/>
    </row>
    <row r="35" spans="1:10" ht="30" customHeight="1">
      <c r="A35" s="68" t="s">
        <v>562</v>
      </c>
      <c r="B35" s="69"/>
      <c r="C35" s="69"/>
      <c r="D35" s="69"/>
      <c r="E35" s="69"/>
      <c r="F35" s="69"/>
      <c r="G35" s="69"/>
      <c r="H35" s="69"/>
      <c r="I35" s="69"/>
      <c r="J35" s="69"/>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82" t="s">
        <v>184</v>
      </c>
      <c r="B38" s="82"/>
      <c r="C38" s="82"/>
      <c r="D38" s="83" t="s">
        <v>185</v>
      </c>
      <c r="E38" s="83"/>
      <c r="F38" s="83"/>
      <c r="G38" s="83"/>
      <c r="H38" s="83"/>
      <c r="I38" s="83"/>
      <c r="J38" s="83"/>
    </row>
    <row r="39" spans="1:10" ht="24" customHeight="1">
      <c r="A39" s="84" t="s">
        <v>186</v>
      </c>
      <c r="B39" s="84"/>
      <c r="C39" s="84"/>
      <c r="D39" s="85" t="str">
        <f>HYPERLINK("#'Formula Reference'!A1","Human-readable formula architecture")</f>
        <v>Human-readable formula architecture</v>
      </c>
      <c r="E39" s="86"/>
      <c r="F39" s="86"/>
      <c r="G39" s="86"/>
      <c r="H39" s="86"/>
      <c r="I39" s="86"/>
      <c r="J39" s="86"/>
    </row>
    <row r="40" spans="1:10" ht="24" customHeight="1">
      <c r="A40" s="84" t="s">
        <v>187</v>
      </c>
      <c r="B40" s="84"/>
      <c r="C40" s="84"/>
      <c r="D40" s="86" t="s">
        <v>577</v>
      </c>
      <c r="E40" s="86"/>
      <c r="F40" s="86"/>
      <c r="G40" s="86"/>
      <c r="H40" s="86"/>
      <c r="I40" s="86"/>
      <c r="J40" s="86"/>
    </row>
    <row r="41" spans="1:10" ht="24" customHeight="1">
      <c r="A41" s="84" t="s">
        <v>188</v>
      </c>
      <c r="B41" s="84"/>
      <c r="C41" s="84"/>
      <c r="D41" s="86" t="s">
        <v>189</v>
      </c>
      <c r="E41" s="86"/>
      <c r="F41" s="86"/>
      <c r="G41" s="86"/>
      <c r="H41" s="86"/>
      <c r="I41" s="86"/>
      <c r="J41" s="86"/>
    </row>
    <row r="42" spans="1:10" ht="26" customHeight="1">
      <c r="A42" s="102" t="s">
        <v>190</v>
      </c>
      <c r="B42" s="102"/>
      <c r="C42" s="102"/>
      <c r="D42" s="103" t="s">
        <v>584</v>
      </c>
      <c r="E42" s="103"/>
      <c r="F42" s="103"/>
      <c r="G42" s="103"/>
      <c r="H42" s="103"/>
      <c r="I42" s="103"/>
      <c r="J42" s="103"/>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9" t="s">
        <v>552</v>
      </c>
      <c r="B45" s="95"/>
      <c r="C45" s="95"/>
      <c r="D45" s="96" t="str">
        <f ca="1">COUNTIF(_Tests!$E:$E,"PASS")&amp;" checks passing · "&amp;COUNTIF(_Tests!$E:$E,"SKIP")&amp;" on demand"</f>
        <v>97 checks passing · 18 on demand</v>
      </c>
      <c r="E45" s="97"/>
      <c r="F45" s="97"/>
      <c r="G45" s="97"/>
      <c r="H45" s="97"/>
      <c r="I45" s="97"/>
      <c r="J45" s="98"/>
    </row>
    <row r="46" spans="1:10" ht="30" customHeight="1">
      <c r="A46" s="89" t="s">
        <v>553</v>
      </c>
      <c r="B46" s="95"/>
      <c r="C46" s="95"/>
      <c r="D46" s="99" t="s">
        <v>425</v>
      </c>
      <c r="E46" s="100"/>
      <c r="F46" s="100"/>
      <c r="G46" s="100"/>
      <c r="H46" s="100"/>
      <c r="I46" s="100"/>
      <c r="J46" s="101"/>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68" t="s">
        <v>563</v>
      </c>
      <c r="B49" s="68"/>
      <c r="C49" s="68"/>
      <c r="D49" s="68"/>
      <c r="E49" s="68"/>
      <c r="F49" s="68"/>
      <c r="G49" s="68"/>
      <c r="H49" s="68"/>
      <c r="I49" s="68"/>
      <c r="J49" s="68"/>
    </row>
    <row r="50" spans="1:10" ht="26" customHeight="1">
      <c r="A50" s="68" t="s">
        <v>564</v>
      </c>
      <c r="B50" s="68"/>
      <c r="C50" s="68"/>
      <c r="D50" s="68"/>
      <c r="E50" s="68"/>
      <c r="F50" s="68"/>
      <c r="G50" s="68"/>
      <c r="H50" s="68"/>
      <c r="I50" s="68"/>
      <c r="J50" s="68"/>
    </row>
    <row r="51" spans="1:10" ht="34" customHeight="1">
      <c r="A51" s="68" t="s">
        <v>565</v>
      </c>
      <c r="B51" s="68"/>
      <c r="C51" s="68"/>
      <c r="D51" s="68"/>
      <c r="E51" s="68"/>
      <c r="F51" s="68"/>
      <c r="G51" s="68"/>
      <c r="H51" s="68"/>
      <c r="I51" s="68"/>
      <c r="J51" s="68"/>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82" t="s">
        <v>586</v>
      </c>
      <c r="B54" s="82"/>
      <c r="C54" s="82"/>
      <c r="D54" s="83" t="s">
        <v>587</v>
      </c>
      <c r="E54" s="83"/>
      <c r="F54" s="83"/>
      <c r="G54" s="83"/>
      <c r="H54" s="83"/>
      <c r="I54" s="83"/>
      <c r="J54" s="83"/>
    </row>
    <row r="55" spans="1:10" ht="24" customHeight="1">
      <c r="A55" s="84" t="s">
        <v>588</v>
      </c>
      <c r="B55" s="84"/>
      <c r="C55" s="84"/>
      <c r="D55" s="104">
        <f>DATE(2026,7,27)</f>
        <v>46230</v>
      </c>
      <c r="E55" s="86"/>
      <c r="F55" s="86"/>
      <c r="G55" s="86"/>
      <c r="H55" s="86"/>
      <c r="I55" s="86"/>
      <c r="J55" s="86"/>
    </row>
    <row r="56" spans="1:10" ht="24" customHeight="1">
      <c r="A56" s="84" t="s">
        <v>589</v>
      </c>
      <c r="B56" s="84"/>
      <c r="C56" s="84"/>
      <c r="D56" s="86" t="s">
        <v>590</v>
      </c>
      <c r="E56" s="86"/>
      <c r="F56" s="86"/>
      <c r="G56" s="86"/>
      <c r="H56" s="86"/>
      <c r="I56" s="86"/>
      <c r="J56" s="86"/>
    </row>
    <row r="57" spans="1:10" ht="24" customHeight="1">
      <c r="A57" s="84" t="s">
        <v>591</v>
      </c>
      <c r="B57" s="84"/>
      <c r="C57" s="84"/>
      <c r="D57" s="86" t="s">
        <v>592</v>
      </c>
      <c r="E57" s="86"/>
      <c r="F57" s="86"/>
      <c r="G57" s="86"/>
      <c r="H57" s="86"/>
      <c r="I57" s="86"/>
      <c r="J57" s="86"/>
    </row>
    <row r="58" spans="1:10" ht="30" customHeight="1">
      <c r="A58" s="102" t="s">
        <v>593</v>
      </c>
      <c r="B58" s="102"/>
      <c r="C58" s="102"/>
      <c r="D58" s="103" t="s">
        <v>594</v>
      </c>
      <c r="E58" s="103"/>
      <c r="F58" s="103"/>
      <c r="G58" s="103"/>
      <c r="H58" s="103"/>
      <c r="I58" s="103"/>
      <c r="J58" s="103"/>
    </row>
    <row r="59" spans="1:10" ht="30" customHeight="1">
      <c r="A59" s="102" t="s">
        <v>595</v>
      </c>
      <c r="B59" s="102"/>
      <c r="C59" s="102"/>
      <c r="D59" s="103" t="s">
        <v>596</v>
      </c>
      <c r="E59" s="103"/>
      <c r="F59" s="103"/>
      <c r="G59" s="103"/>
      <c r="H59" s="103"/>
      <c r="I59" s="103"/>
      <c r="J59" s="103"/>
    </row>
  </sheetData>
  <mergeCells count="75">
    <mergeCell ref="A59:C59"/>
    <mergeCell ref="D59:J59"/>
    <mergeCell ref="A56:C56"/>
    <mergeCell ref="D56:J56"/>
    <mergeCell ref="A57:C57"/>
    <mergeCell ref="D57:J57"/>
    <mergeCell ref="A58:C58"/>
    <mergeCell ref="D58:J58"/>
    <mergeCell ref="A53:J53"/>
    <mergeCell ref="A54:C54"/>
    <mergeCell ref="D54:J54"/>
    <mergeCell ref="A55:C55"/>
    <mergeCell ref="D55:J55"/>
    <mergeCell ref="A40:C40"/>
    <mergeCell ref="D40:J40"/>
    <mergeCell ref="A41:C41"/>
    <mergeCell ref="D41:J41"/>
    <mergeCell ref="A42:C42"/>
    <mergeCell ref="D42:J42"/>
    <mergeCell ref="A48:J48"/>
    <mergeCell ref="A49:J49"/>
    <mergeCell ref="D45:J45"/>
    <mergeCell ref="A46:C46"/>
    <mergeCell ref="D46:J46"/>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38:C38"/>
    <mergeCell ref="D38:J38"/>
    <mergeCell ref="A39:C39"/>
    <mergeCell ref="D39:J39"/>
    <mergeCell ref="A30:J30"/>
    <mergeCell ref="A31:J31"/>
    <mergeCell ref="A32:J32"/>
    <mergeCell ref="A33:J33"/>
    <mergeCell ref="A34:J34"/>
    <mergeCell ref="A35:J35"/>
    <mergeCell ref="A37:J37"/>
    <mergeCell ref="A14:J14"/>
    <mergeCell ref="A20:J20"/>
    <mergeCell ref="A21:J21"/>
    <mergeCell ref="A22:J22"/>
    <mergeCell ref="A23:J23"/>
    <mergeCell ref="A1:J1"/>
    <mergeCell ref="A2:J2"/>
    <mergeCell ref="A4:J4"/>
    <mergeCell ref="A12:J12"/>
    <mergeCell ref="A13:J13"/>
    <mergeCell ref="A9:C9"/>
    <mergeCell ref="D9:E9"/>
    <mergeCell ref="F9:J9"/>
    <mergeCell ref="A10:J10"/>
    <mergeCell ref="A11:J11"/>
    <mergeCell ref="A25:J25"/>
    <mergeCell ref="A26:J26"/>
    <mergeCell ref="A27:J27"/>
    <mergeCell ref="A29:J29"/>
    <mergeCell ref="A15:J15"/>
    <mergeCell ref="A16:J16"/>
    <mergeCell ref="A17:J17"/>
    <mergeCell ref="A18:J18"/>
    <mergeCell ref="A24:J24"/>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545</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152</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07" t="s">
        <v>153</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08"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11">
        <f>81-COUNT(_Engine!$B$3:$J$11)</f>
        <v>51</v>
      </c>
      <c r="AN8" s="111"/>
      <c r="AO8" s="111"/>
      <c r="AP8" s="111"/>
      <c r="AQ8" s="111"/>
      <c r="AR8" s="111"/>
      <c r="AS8" s="111"/>
      <c r="AT8" s="9"/>
      <c r="AU8" s="112">
        <f>COUNTIF(_Engine!$B$51:$J$59,TRUE)</f>
        <v>0</v>
      </c>
      <c r="AV8" s="112"/>
      <c r="AW8" s="112"/>
      <c r="AX8" s="112"/>
      <c r="AY8" s="112"/>
      <c r="AZ8" s="112"/>
      <c r="BA8" s="112"/>
      <c r="BB8" s="9"/>
      <c r="BC8" s="108" t="s">
        <v>149</v>
      </c>
      <c r="BD8" s="108"/>
      <c r="BE8" s="108"/>
      <c r="BF8" s="108"/>
      <c r="BG8" s="108"/>
      <c r="BH8" s="108"/>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13" t="s">
        <v>148</v>
      </c>
      <c r="AN10" s="113"/>
      <c r="AO10" s="113"/>
      <c r="AP10" s="113"/>
      <c r="AQ10" s="113"/>
      <c r="AR10" s="113"/>
      <c r="AS10" s="72"/>
      <c r="AT10" s="72"/>
      <c r="AU10" s="72"/>
      <c r="AV10" s="72"/>
      <c r="AW10" s="72"/>
      <c r="AX10" s="72"/>
      <c r="AY10" s="72"/>
      <c r="AZ10" s="72"/>
      <c r="BA10" s="113"/>
      <c r="BB10" s="113"/>
      <c r="BC10" s="113"/>
      <c r="BD10" s="113"/>
      <c r="BE10" s="113"/>
      <c r="BF10" s="113"/>
      <c r="BG10" s="113"/>
      <c r="BH10" s="113"/>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14" t="s">
        <v>154</v>
      </c>
      <c r="AN11" s="114"/>
      <c r="AO11" s="114"/>
      <c r="AP11" s="114"/>
      <c r="AQ11" s="114"/>
      <c r="AR11" s="56"/>
      <c r="AS11" s="115" t="s">
        <v>40</v>
      </c>
      <c r="AT11" s="115"/>
      <c r="AU11" s="115"/>
      <c r="AV11" s="115"/>
      <c r="AW11" s="115"/>
      <c r="AX11" s="115"/>
      <c r="AY11" s="115"/>
      <c r="AZ11" s="115"/>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16"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0:BH10"/>
    <mergeCell ref="AM11:AQ11"/>
    <mergeCell ref="AS11:AZ11"/>
    <mergeCell ref="AM12:BH15"/>
    <mergeCell ref="AM16:BH16"/>
    <mergeCell ref="AM8:AS9"/>
    <mergeCell ref="AU7:BA7"/>
    <mergeCell ref="AU8:BA9"/>
    <mergeCell ref="BC7:BH7"/>
    <mergeCell ref="BC8:BH9"/>
    <mergeCell ref="B1:BH1"/>
    <mergeCell ref="B2:BH2"/>
    <mergeCell ref="AM4:BH4"/>
    <mergeCell ref="AM5:BH6"/>
    <mergeCell ref="AM7:AS7"/>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546</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162</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08"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11">
        <f>81-COUNT('_Engine Medium'!$B$3:$J$11)</f>
        <v>45</v>
      </c>
      <c r="AN8" s="111"/>
      <c r="AO8" s="111"/>
      <c r="AP8" s="111"/>
      <c r="AQ8" s="111"/>
      <c r="AR8" s="111"/>
      <c r="AS8" s="111"/>
      <c r="AT8" s="9"/>
      <c r="AU8" s="112">
        <f>COUNTIF('_Engine Medium'!$B$51:$J$59,TRUE)</f>
        <v>0</v>
      </c>
      <c r="AV8" s="112"/>
      <c r="AW8" s="112"/>
      <c r="AX8" s="112"/>
      <c r="AY8" s="112"/>
      <c r="AZ8" s="112"/>
      <c r="BA8" s="112"/>
      <c r="BB8" s="9"/>
      <c r="BC8" s="108" t="s">
        <v>161</v>
      </c>
      <c r="BD8" s="108"/>
      <c r="BE8" s="108"/>
      <c r="BF8" s="108"/>
      <c r="BG8" s="108"/>
      <c r="BH8" s="108"/>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16"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547</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163</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08"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11">
        <f>81-COUNT('_Engine Hard'!$B$3:$J$11)</f>
        <v>53</v>
      </c>
      <c r="AN8" s="111"/>
      <c r="AO8" s="111"/>
      <c r="AP8" s="111"/>
      <c r="AQ8" s="111"/>
      <c r="AR8" s="111"/>
      <c r="AS8" s="111"/>
      <c r="AT8" s="9"/>
      <c r="AU8" s="112">
        <f>COUNTIF('_Engine Hard'!$B$51:$J$59,TRUE)</f>
        <v>0</v>
      </c>
      <c r="AV8" s="112"/>
      <c r="AW8" s="112"/>
      <c r="AX8" s="112"/>
      <c r="AY8" s="112"/>
      <c r="AZ8" s="112"/>
      <c r="BA8" s="112"/>
      <c r="BB8" s="9"/>
      <c r="BC8" s="108" t="s">
        <v>161</v>
      </c>
      <c r="BD8" s="108"/>
      <c r="BE8" s="108"/>
      <c r="BF8" s="108"/>
      <c r="BG8" s="108"/>
      <c r="BH8" s="108"/>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16"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548</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164</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08"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11">
        <f>81-COUNT('_Engine Expert'!$B$3:$J$11)</f>
        <v>54</v>
      </c>
      <c r="AN8" s="111"/>
      <c r="AO8" s="111"/>
      <c r="AP8" s="111"/>
      <c r="AQ8" s="111"/>
      <c r="AR8" s="111"/>
      <c r="AS8" s="111"/>
      <c r="AT8" s="9"/>
      <c r="AU8" s="112">
        <f>COUNTIF('_Engine Expert'!$B$51:$J$59,TRUE)</f>
        <v>0</v>
      </c>
      <c r="AV8" s="112"/>
      <c r="AW8" s="112"/>
      <c r="AX8" s="112"/>
      <c r="AY8" s="112"/>
      <c r="AZ8" s="112"/>
      <c r="BA8" s="112"/>
      <c r="BB8" s="9"/>
      <c r="BC8" s="108" t="s">
        <v>161</v>
      </c>
      <c r="BD8" s="108"/>
      <c r="BE8" s="108"/>
      <c r="BF8" s="108"/>
      <c r="BG8" s="108"/>
      <c r="BH8" s="108"/>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16"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549</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165</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08"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11">
        <f>81-COUNT('_Engine Master'!$B$3:$J$11)</f>
        <v>58</v>
      </c>
      <c r="AN8" s="111"/>
      <c r="AO8" s="111"/>
      <c r="AP8" s="111"/>
      <c r="AQ8" s="111"/>
      <c r="AR8" s="111"/>
      <c r="AS8" s="111"/>
      <c r="AT8" s="9"/>
      <c r="AU8" s="112">
        <f>COUNTIF('_Engine Master'!$B$51:$J$59,TRUE)</f>
        <v>0</v>
      </c>
      <c r="AV8" s="112"/>
      <c r="AW8" s="112"/>
      <c r="AX8" s="112"/>
      <c r="AY8" s="112"/>
      <c r="AZ8" s="112"/>
      <c r="BA8" s="112"/>
      <c r="BB8" s="9"/>
      <c r="BC8" s="108" t="s">
        <v>161</v>
      </c>
      <c r="BD8" s="108"/>
      <c r="BE8" s="108"/>
      <c r="BF8" s="108"/>
      <c r="BG8" s="108"/>
      <c r="BH8" s="108"/>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16"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168"/>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635</v>
      </c>
      <c r="B145" t="s">
        <v>636</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628</v>
      </c>
    </row>
    <row r="165" spans="1:5">
      <c r="A165" t="s">
        <v>629</v>
      </c>
      <c r="B165" t="s">
        <v>630</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IF(D165=C165,"PASS","FAIL")</f>
        <v>PASS</v>
      </c>
    </row>
    <row r="166" spans="1:5">
      <c r="A166" t="s">
        <v>631</v>
      </c>
      <c r="B166" t="s">
        <v>632</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IF(D166=C166,"PASS","FAIL")</f>
        <v>PASS</v>
      </c>
    </row>
    <row r="167" spans="1:5">
      <c r="A167" t="s">
        <v>633</v>
      </c>
      <c r="B167" t="s">
        <v>634</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IF(D167=C167,"PASS","FAIL")</f>
        <v>PASS</v>
      </c>
    </row>
    <row r="168" spans="1:5">
      <c r="A168" t="s">
        <v>637</v>
      </c>
      <c r="B168" t="s">
        <v>630</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IF(D168=C168,"PASS","FAIL")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627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2026-09-22T04:33:52Z</dcterms:modified>
</cp:coreProperties>
</file>