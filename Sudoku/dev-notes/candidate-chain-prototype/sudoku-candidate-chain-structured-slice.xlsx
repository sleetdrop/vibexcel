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172AE5DB-6C70-3845-95A3-DB89180FA18F}"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step,IF(_xlpm.rowText&lt;&gt;"",_xlpm.rowStep,IF(_xlpm.colText&lt;&gt;"",_xlpm.colStep,IF(_xlpm.claimRowText&lt;&gt;"",_xlpm.claimRowStep,IF(_xlpm.claimColText&lt;&gt;"",_xlpm.claimColStep,IF(_xlpm.pairRowText&lt;&gt;"",_xlpm.pairRowStep,_xlpm.pairColStep))))),_xlpm.stepText,IF(_xlpm.rowText&lt;&gt;"",_xlpm.rowText,IF(_xlpm.colText&lt;&gt;"",_xlpm.colText,IF(_xlpm.claimRowText&lt;&gt;"",_xlpm.claimRowText,IF(_xlpm.claimColText&lt;&gt;"",_xlpm.claimColText,IF(_xlpm.pairRowText&lt;&gt;"",_xlpm.pairRowText,_xlpm.pairColText))))),_xlpm.adv,IF(OR(_xlpm.bad,_xlpm.basic&lt;&gt;""),"",IF(_xlpm.stepText&lt;&gt;"",_xlpm.stepText,SDKP_AdvancedHint(_xlpm.c))),_xlpm.state,IF(_xlpm.bad,"CONTRADICTION",IF(_xlpm.basic&lt;&gt;"","ASSIGNMENT",IF(_xlpm.adv="","STABLE",IF(_xlpm.steps&gt;=_xlpm.lim,"LIMIT","CONTINUE")))),IF(_xlpm.state="CONTINUE",_xlfn.LET(_xlpm.next,IF(_xlpm.stepText&lt;&gt;"",SDKP_ApplyStep(_xlpm.c,_xlpm.step),SDKP_Apply(_xlpm.c,_xlpm.adv)),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89" i="10" l="1" a="1"/>
  <c r="D189" i="10" s="1"/>
  <c r="E189" i="10" s="1"/>
  <c r="C189" i="10"/>
  <c r="D188" i="10" a="1"/>
  <c r="D188" i="10" s="1"/>
  <c r="E188" i="10" s="1"/>
  <c r="C188" i="10"/>
  <c r="D187" i="10" a="1"/>
  <c r="D187" i="10" s="1"/>
  <c r="E187" i="10" s="1"/>
  <c r="C187" i="10"/>
  <c r="D186" i="10" a="1"/>
  <c r="D186" i="10" s="1"/>
  <c r="E186" i="10" s="1"/>
  <c r="C186" i="10"/>
  <c r="D185" i="10" a="1"/>
  <c r="D185" i="10" s="1"/>
  <c r="E185" i="10" s="1"/>
  <c r="D184" i="10" a="1"/>
  <c r="D184" i="10" s="1"/>
  <c r="E184" i="10" s="1"/>
  <c r="D183" i="10" a="1"/>
  <c r="D183" i="10" s="1"/>
  <c r="E183" i="10" s="1"/>
  <c r="D182" i="10" a="1"/>
  <c r="D182" i="10" s="1"/>
  <c r="E182" i="10" s="1"/>
  <c r="D181" i="10" a="1"/>
  <c r="D181" i="10" s="1"/>
  <c r="E181" i="10" s="1"/>
  <c r="D180" i="10" a="1"/>
  <c r="D180" i="10" s="1"/>
  <c r="E180" i="10" s="1"/>
  <c r="D179" i="10" a="1"/>
  <c r="D179" i="10" s="1"/>
  <c r="E179" i="10" s="1"/>
  <c r="D178" i="10"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AE16" i="24" s="1" a="1"/>
  <c r="AE16" i="24"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X24" i="24" s="1" a="1"/>
  <c r="X24" i="24"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Z23" i="24" a="1"/>
  <c r="Z23" i="24" s="1"/>
  <c r="AB23" i="24" a="1"/>
  <c r="AB23" i="24" s="1"/>
  <c r="F23" i="24" a="1"/>
  <c r="F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G7" i="24" a="1"/>
  <c r="G7" i="24" s="1"/>
  <c r="F9" i="24" a="1"/>
  <c r="F9" i="24" s="1"/>
  <c r="H7" i="24" a="1"/>
  <c r="H7" i="24" s="1"/>
  <c r="G9" i="24" a="1"/>
  <c r="G9" i="24" s="1"/>
  <c r="H9" i="24" a="1"/>
  <c r="H9" i="24" s="1"/>
  <c r="F8" i="24" a="1"/>
  <c r="F8" i="24" s="1"/>
  <c r="H8" i="24" a="1"/>
  <c r="H8" i="24" s="1"/>
  <c r="C27" i="24" a="1"/>
  <c r="C27" i="24" s="1"/>
  <c r="AD17" i="24" a="1"/>
  <c r="AD17" i="24" s="1"/>
  <c r="AF18" i="24" a="1"/>
  <c r="AF18" i="24" s="1"/>
  <c r="AF17" i="24" a="1"/>
  <c r="AF17" i="24" s="1"/>
  <c r="AF16" i="24" a="1"/>
  <c r="AF16" i="24" s="1"/>
  <c r="AD18" i="24" a="1"/>
  <c r="AD18" i="24" s="1"/>
  <c r="AE18" i="24" a="1"/>
  <c r="AE18" i="24" s="1"/>
  <c r="K16" i="24" a="1"/>
  <c r="K16"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6" i="24" a="1"/>
  <c r="AF26" i="24" s="1"/>
  <c r="K27" i="24" a="1"/>
  <c r="K27"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O15" i="24" a="1"/>
  <c r="O15" i="24" s="1"/>
  <c r="P15" i="24" a="1"/>
  <c r="P15" i="24" s="1"/>
  <c r="O13" i="24" a="1"/>
  <c r="O13" i="24" s="1"/>
  <c r="P14" i="24" a="1"/>
  <c r="P14" i="24" s="1"/>
  <c r="P13" i="24" a="1"/>
  <c r="P13" i="24" s="1"/>
  <c r="N15" i="24" a="1"/>
  <c r="N15" i="24" s="1"/>
  <c r="N14" i="24" a="1"/>
  <c r="N14" i="24" s="1"/>
  <c r="W24" i="24" a="1"/>
  <c r="W24" i="24" s="1"/>
  <c r="X23" i="24" a="1"/>
  <c r="X23" i="24" s="1"/>
  <c r="W22" i="24" a="1"/>
  <c r="W22" i="24" s="1"/>
  <c r="AB30" i="24" a="1"/>
  <c r="AB30"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K6" i="24" l="1" a="1"/>
  <c r="K6" i="24" s="1"/>
  <c r="L5" i="24" a="1"/>
  <c r="L5" i="24" s="1"/>
  <c r="L7" i="24" a="1"/>
  <c r="L7" i="24" s="1"/>
  <c r="AF27" i="24" a="1"/>
  <c r="AF27" i="24" s="1"/>
  <c r="AA21" i="24" a="1"/>
  <c r="AA21" i="24" s="1"/>
  <c r="L24" i="24" a="1"/>
  <c r="L24" i="24" s="1"/>
  <c r="V24" i="24" a="1"/>
  <c r="V24" i="24" s="1"/>
  <c r="V23" i="24" a="1"/>
  <c r="V23" i="24" s="1"/>
  <c r="X22" i="24" a="1"/>
  <c r="X22" i="24" s="1"/>
  <c r="F20" i="24" a="1"/>
  <c r="F20" i="24" s="1"/>
  <c r="AE15" i="24"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<sst xmlns="http://schemas.openxmlformats.org/spreadsheetml/2006/main" count="945" uniqueCount="674">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</sst>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118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89"/>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178" si="8">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657</v>
      </c>
      <c r="B179" t="s">
        <v>630</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IF(D179=C179,"PASS","FAIL")</f>
        <v>PASS</v>
      </c>
    </row>
    <row r="180" spans="1:5">
      <c r="A180" t="s">
        <v>658</v>
      </c>
      <c r="B180" t="s">
        <v>659</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IF(D180=C180,"PASS","FAIL")</f>
        <v>PASS</v>
      </c>
    </row>
    <row r="181" spans="1:5">
      <c r="A181" t="s">
        <v>660</v>
      </c>
      <c r="B181" t="s">
        <v>656</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IF(D181=C181,"PASS","FAIL")</f>
        <v>PASS</v>
      </c>
    </row>
    <row r="182" spans="1:5">
      <c r="A182" t="s">
        <v>661</v>
      </c>
      <c r="B182" t="s">
        <v>662</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IF(D182=C182,"PASS","FAIL")</f>
        <v>PASS</v>
      </c>
    </row>
    <row r="183" spans="1:5">
      <c r="A183" t="s">
        <v>663</v>
      </c>
      <c r="B183" t="s">
        <v>664</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IF(D183=C183,"PASS","FAIL")</f>
        <v>PASS</v>
      </c>
    </row>
    <row r="184" spans="1:5">
      <c r="A184" t="s">
        <v>665</v>
      </c>
      <c r="B184" t="s">
        <v>666</v>
      </c>
      <c r="C184" t="b">
        <v>1</v>
      </c>
      <c r="D184" t="b" cm="1">
        <f t="array" ref="D184">IFERROR(_xlfn.LET(_xlpm.c,_xlfn.MAKEARRAY(9,9,_xlfn.LAMBDA(_xlpm.r,_xlpm.k,_xlfn.IFS(AND(_xlpm.r=4,OR(_xlpm.k=2,_xlpm.k=5)),"47",AND(_xlpm.r=4,_xlpm.k=7),"478",_xlpm.r=4,"1235689",TRUE,"123456789"))),SDKP_NakedPairRow(_xlpm.c)=INDEX(SDKP_NakedPairRowStep(_xlpm.c),1,5)),FALSE)</f>
        <v>1</v>
      </c>
      <c r="E184" t="str">
        <f>IF(D184=C184,"PASS","FAIL")</f>
        <v>PASS</v>
      </c>
    </row>
    <row r="185" spans="1:5">
      <c r="A185" t="s">
        <v>667</v>
      </c>
      <c r="B185" t="s">
        <v>668</v>
      </c>
      <c r="C185" t="b">
        <v>1</v>
      </c>
      <c r="D185" t="b" cm="1">
        <f t="array" ref="D185">IFERROR(_xlfn.LET(_xlpm.c,_xlfn.MAKEARRAY(9,9,_xlfn.LAMBDA(_xlpm.r,_xlpm.k,_xlfn.IFS(AND(_xlpm.r=4,OR(_xlpm.k=2,_xlpm.k=5,_xlpm.k=8)),"47",AND(_xlpm.r=4,_xlpm.k=7),"478",_xlpm.r=4,"1235689",TRUE,"123456789"))),_xlpm.s,SDKP_NakedPairRowStep(_xlpm.c),SUM(--(_xlpm.s=""))=5),FALSE)</f>
        <v>1</v>
      </c>
      <c r="E185" t="str">
        <f>IF(D185=C185,"PASS","FAIL")</f>
        <v>PASS</v>
      </c>
    </row>
    <row r="186" spans="1:5">
      <c r="A186" t="s">
        <v>669</v>
      </c>
      <c r="B186" t="s">
        <v>662</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IF(D186=C186,"PASS","FAIL")</f>
        <v>PASS</v>
      </c>
    </row>
    <row r="187" spans="1:5">
      <c r="A187" t="s">
        <v>670</v>
      </c>
      <c r="B187" t="s">
        <v>671</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IF(D187=C187,"PASS","FAIL")</f>
        <v>PASS</v>
      </c>
    </row>
    <row r="188" spans="1:5">
      <c r="A188" t="s">
        <v>672</v>
      </c>
      <c r="B188" t="s">
        <v>666</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IF(D188=C188,"PASS","FAIL")</f>
        <v>PASS</v>
      </c>
    </row>
    <row r="189" spans="1:5">
      <c r="A189" t="s">
        <v>673</v>
      </c>
      <c r="B189" t="s">
        <v>668</v>
      </c>
      <c r="C189" t="b">
        <f>TRUE()</f>
        <v>1</v>
      </c>
      <c r="D189" t="b" cm="1">
        <f t="array" ref="D189">IFERROR(_xlfn.LET(_xlpm.c,_xlfn.MAKEARRAY(9,9,_xlfn.LAMBDA(_xlpm.r,_xlpm.k,_xlfn.IFS(AND(_xlpm.k=6,OR(_xlpm.r=2,_xlpm.r=5,_xlpm.r=8)),"47",AND(_xlpm.r=7,_xlpm.k=6),"478",_xlpm.k=6,"1235689",TRUE,"123456789"))),_xlpm.s,SDKP_NakedPairColStep(_xlpm.c),SUM(--(_xlpm.s=""))=5),FALSE)</f>
        <v>1</v>
      </c>
      <c r="E189" t="str">
        <f>IF(D189=C189,"PASS","FAIL")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2026-09-22T11:26:19Z</dcterms:modified>
</cp:coreProperties>
</file>