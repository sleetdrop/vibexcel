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xr:revisionPtr revIDLastSave="0" documentId="13_ncr:1_{BAE03ACF-D307-B942-A61D-63EDE05F9C92}"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57" i="10" l="1"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G17" i="24"/>
  <c r="AA14" i="24"/>
  <c r="O14" i="24"/>
  <c r="K14" i="24"/>
  <c r="AA11" i="24"/>
  <c r="H5" i="16" s="1"/>
  <c r="H17" i="16" s="1" a="1"/>
  <c r="H17"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W23" i="22"/>
  <c r="G9" i="14" s="1"/>
  <c r="O23" i="22"/>
  <c r="E9" i="14" s="1"/>
  <c r="G23" i="22"/>
  <c r="C9" i="14" s="1"/>
  <c r="C23" i="22"/>
  <c r="AI20" i="22"/>
  <c r="W20" i="22"/>
  <c r="O20" i="22"/>
  <c r="E8" i="14" s="1"/>
  <c r="AE17" i="22"/>
  <c r="I7" i="14" s="1"/>
  <c r="G17" i="22"/>
  <c r="C7" i="14" s="1"/>
  <c r="C19" i="14" s="1" a="1"/>
  <c r="C19" i="14" s="1"/>
  <c r="G16" i="22" s="1" a="1"/>
  <c r="G16" i="22" s="1"/>
  <c r="W14" i="22"/>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F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C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G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I9" i="9"/>
  <c r="AD23" i="12" s="1" a="1"/>
  <c r="AD23" i="12" s="1"/>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I55" i="16" l="1"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B89" i="16" a="1"/>
  <c r="B89" i="16" s="1"/>
  <c r="B90" i="16" a="1"/>
  <c r="B90"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J19" i="16" a="1"/>
  <c r="J19" i="16"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B20" i="16" a="1"/>
  <c r="B20" i="16"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I18" i="16" a="1"/>
  <c r="I18" i="16"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G16" i="16" a="1"/>
  <c r="G16" i="16" s="1"/>
  <c r="X7" i="24" s="1" a="1"/>
  <c r="X7" i="24"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F18" i="16" a="1"/>
  <c r="F18" i="16" s="1"/>
  <c r="J59" i="16" a="1"/>
  <c r="J59" i="16" s="1"/>
  <c r="H54" i="16" a="1"/>
  <c r="H54" i="16" s="1"/>
  <c r="F20" i="16" a="1"/>
  <c r="F20" i="16" s="1"/>
  <c r="E19" i="16" a="1"/>
  <c r="E19" i="16" s="1"/>
  <c r="D18" i="16" a="1"/>
  <c r="D18" i="16" s="1"/>
  <c r="J52" i="16" a="1"/>
  <c r="J52" i="16" s="1"/>
  <c r="F52" i="16" a="1"/>
  <c r="F52" i="16" s="1"/>
  <c r="B16" i="16" a="1"/>
  <c r="B16" i="16" s="1"/>
  <c r="J18" i="16" a="1"/>
  <c r="J18" i="16" s="1"/>
  <c r="C22" i="16" a="1"/>
  <c r="C22" i="16" s="1"/>
  <c r="C17" i="16" a="1"/>
  <c r="C17" i="16" s="1"/>
  <c r="H22" i="16" a="1"/>
  <c r="H22" i="16" s="1"/>
  <c r="I23" i="16" a="1"/>
  <c r="I23" i="16" s="1"/>
  <c r="G58" i="16" a="1"/>
  <c r="G58" i="16" s="1"/>
  <c r="C21" i="16" a="1"/>
  <c r="C21" i="16" s="1"/>
  <c r="G21" i="16" a="1"/>
  <c r="G21" i="16" s="1"/>
  <c r="G57" i="16" a="1"/>
  <c r="G57" i="16" s="1"/>
  <c r="E56" i="16" a="1"/>
  <c r="E56" i="16" s="1"/>
  <c r="D55" i="16" a="1"/>
  <c r="D55" i="16" s="1"/>
  <c r="C54" i="16" a="1"/>
  <c r="C54" i="16" s="1"/>
  <c r="B53" i="16" a="1"/>
  <c r="B53" i="16" s="1"/>
  <c r="E53" i="16" a="1"/>
  <c r="E53" i="16" s="1"/>
  <c r="D53" i="16" a="1"/>
  <c r="D53" i="16" s="1"/>
  <c r="F15" i="16" a="1"/>
  <c r="F15" i="16" s="1"/>
  <c r="H59" i="16" a="1"/>
  <c r="H59" i="16" s="1"/>
  <c r="J51" i="16" a="1"/>
  <c r="J51" i="16" s="1"/>
  <c r="B59" i="16" a="1"/>
  <c r="B59" i="16" s="1"/>
  <c r="I57" i="16" a="1"/>
  <c r="I57" i="16" s="1"/>
  <c r="B21" i="16" a="1"/>
  <c r="B21" i="16" s="1"/>
  <c r="H55" i="16" a="1"/>
  <c r="H55" i="16" s="1"/>
  <c r="G23" i="16" a="1"/>
  <c r="G23" i="16" s="1"/>
  <c r="X28" i="24" s="1" a="1"/>
  <c r="X28" i="24" s="1"/>
  <c r="G19" i="16" a="1"/>
  <c r="G19" i="16" s="1"/>
  <c r="G54" i="16" a="1"/>
  <c r="G54" i="16" s="1"/>
  <c r="F22" i="16" a="1"/>
  <c r="F22" i="16" s="1"/>
  <c r="I21" i="16" a="1"/>
  <c r="I21" i="16" s="1"/>
  <c r="J58" i="16" a="1"/>
  <c r="J58" i="16" s="1"/>
  <c r="H57" i="16" a="1"/>
  <c r="H57" i="16" s="1"/>
  <c r="D23" i="16" a="1"/>
  <c r="D23" i="16" s="1"/>
  <c r="J56" i="16" a="1"/>
  <c r="J56" i="16" s="1"/>
  <c r="C15" i="16" a="1"/>
  <c r="C15" i="16" s="1"/>
  <c r="J22" i="16" a="1"/>
  <c r="J22" i="16" s="1"/>
  <c r="G56" i="16" a="1"/>
  <c r="G56" i="16" s="1"/>
  <c r="I17" i="16" a="1"/>
  <c r="I17" i="16" s="1"/>
  <c r="G51" i="16" a="1"/>
  <c r="G51" i="16" s="1"/>
  <c r="I51" i="16" a="1"/>
  <c r="I51" i="16" s="1"/>
  <c r="F55" i="16" a="1"/>
  <c r="F55" i="16" s="1"/>
  <c r="H56" i="16" a="1"/>
  <c r="H56" i="16" s="1"/>
  <c r="E58" i="16" a="1"/>
  <c r="E58" i="16" s="1"/>
  <c r="B18" i="16" a="1"/>
  <c r="B1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B15" i="16" a="1"/>
  <c r="B15" i="16" s="1"/>
  <c r="G15" i="16" a="1"/>
  <c r="G15" i="16" s="1"/>
  <c r="C16" i="16" a="1"/>
  <c r="C16" i="16" s="1"/>
  <c r="H16" i="16" a="1"/>
  <c r="H16" i="16" s="1"/>
  <c r="D17" i="16" a="1"/>
  <c r="D17" i="16" s="1"/>
  <c r="E18" i="16" a="1"/>
  <c r="E18" i="16" s="1"/>
  <c r="F19" i="16" a="1"/>
  <c r="F19" i="16" s="1"/>
  <c r="G20" i="16" a="1"/>
  <c r="G20" i="16" s="1"/>
  <c r="H21" i="16" a="1"/>
  <c r="H21" i="16" s="1"/>
  <c r="D22" i="16" a="1"/>
  <c r="D22" i="16" s="1"/>
  <c r="J27" i="24" s="1" a="1"/>
  <c r="J27" i="24" s="1"/>
  <c r="I22" i="16" a="1"/>
  <c r="I22" i="16" s="1"/>
  <c r="E23" i="16" a="1"/>
  <c r="E23" i="16" s="1"/>
  <c r="J23" i="16" a="1"/>
  <c r="J23" i="16" s="1"/>
  <c r="AI30" i="24" s="1"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H15" i="16" a="1"/>
  <c r="H15" i="16" s="1"/>
  <c r="AB5" i="24" s="1" a="1"/>
  <c r="AB5" i="24" s="1"/>
  <c r="D16" i="16" a="1"/>
  <c r="D16" i="16" s="1"/>
  <c r="I16" i="16" a="1"/>
  <c r="I16" i="16" s="1"/>
  <c r="E17" i="16" a="1"/>
  <c r="E17" i="16" s="1"/>
  <c r="J17" i="16" a="1"/>
  <c r="J17" i="16" s="1"/>
  <c r="B19" i="16" a="1"/>
  <c r="B19" i="16" s="1"/>
  <c r="C20" i="16" a="1"/>
  <c r="C20" i="16" s="1"/>
  <c r="H20" i="16" a="1"/>
  <c r="H20" i="16" s="1"/>
  <c r="D21" i="16" a="1"/>
  <c r="D21" i="16" s="1"/>
  <c r="E22" i="16" a="1"/>
  <c r="E22" i="16" s="1"/>
  <c r="P27" i="24" s="1" a="1"/>
  <c r="P27" i="24" s="1"/>
  <c r="F23" i="16" a="1"/>
  <c r="F23" i="16" s="1"/>
  <c r="R29" i="24" s="1" a="1"/>
  <c r="R29" i="24" s="1"/>
  <c r="B51" i="16" a="1"/>
  <c r="B51" i="16" s="1"/>
  <c r="I53" i="16" a="1"/>
  <c r="I53" i="16" s="1"/>
  <c r="J54" i="16" a="1"/>
  <c r="J54" i="16" s="1"/>
  <c r="B56" i="16" a="1"/>
  <c r="B56" i="16" s="1"/>
  <c r="C57" i="16" a="1"/>
  <c r="C57" i="16" s="1"/>
  <c r="B66" i="16" a="1"/>
  <c r="B66" i="16" s="1"/>
  <c r="D15" i="16" a="1"/>
  <c r="D15" i="16" s="1"/>
  <c r="I15" i="16" a="1"/>
  <c r="I15" i="16" s="1"/>
  <c r="AF6" i="24" s="1" a="1"/>
  <c r="AF6" i="24" s="1"/>
  <c r="E16" i="16" a="1"/>
  <c r="E16" i="16" s="1"/>
  <c r="P7" i="24" s="1" a="1"/>
  <c r="P7" i="24" s="1"/>
  <c r="J16" i="16" a="1"/>
  <c r="J16" i="16" s="1"/>
  <c r="F17" i="16" a="1"/>
  <c r="F17" i="16" s="1"/>
  <c r="G18" i="16" a="1"/>
  <c r="G18" i="16" s="1"/>
  <c r="C19" i="16" a="1"/>
  <c r="C19" i="16" s="1"/>
  <c r="H19" i="16" a="1"/>
  <c r="H19" i="16" s="1"/>
  <c r="D20" i="16" a="1"/>
  <c r="D20" i="16" s="1"/>
  <c r="I20" i="16" a="1"/>
  <c r="I20" i="16" s="1"/>
  <c r="E21" i="16" a="1"/>
  <c r="E21" i="16" s="1"/>
  <c r="J21" i="16" a="1"/>
  <c r="J21" i="16" s="1"/>
  <c r="B23" i="16" a="1"/>
  <c r="B23" i="16" s="1"/>
  <c r="B62" i="16" a="1"/>
  <c r="B62" i="16" s="1"/>
  <c r="E15" i="16" a="1"/>
  <c r="E15" i="16" s="1"/>
  <c r="J15" i="16" a="1"/>
  <c r="J15" i="16" s="1"/>
  <c r="F16" i="16" a="1"/>
  <c r="F16" i="16" s="1"/>
  <c r="B17" i="16" a="1"/>
  <c r="B17" i="16" s="1"/>
  <c r="G17" i="16" a="1"/>
  <c r="G17" i="16" s="1"/>
  <c r="C18" i="16" a="1"/>
  <c r="C18" i="16" s="1"/>
  <c r="H18" i="16" a="1"/>
  <c r="H18" i="16" s="1"/>
  <c r="D19" i="16" a="1"/>
  <c r="D19" i="16" s="1"/>
  <c r="I19" i="16" a="1"/>
  <c r="I19" i="16" s="1"/>
  <c r="E20" i="16" a="1"/>
  <c r="E20" i="16" s="1"/>
  <c r="J20" i="16" a="1"/>
  <c r="J20" i="16" s="1"/>
  <c r="F21" i="16" a="1"/>
  <c r="F21" i="16" s="1"/>
  <c r="B22" i="16" a="1"/>
  <c r="B22" i="16" s="1"/>
  <c r="B27" i="24" s="1" a="1"/>
  <c r="B27" i="24" s="1"/>
  <c r="G22" i="16" a="1"/>
  <c r="G22" i="16" s="1"/>
  <c r="W25" i="24" s="1" a="1"/>
  <c r="W25" i="24" s="1"/>
  <c r="C23" i="16" a="1"/>
  <c r="C23" i="16" s="1"/>
  <c r="G30" i="24" s="1" a="1"/>
  <c r="G30" i="24" s="1"/>
  <c r="H23" i="16" a="1"/>
  <c r="H23"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B88" i="14" l="1" a="1"/>
  <c r="B88" i="14" s="1"/>
  <c r="F7" i="22" s="1" a="1"/>
  <c r="F7" i="22" s="1"/>
  <c r="B88" i="16" a="1"/>
  <c r="B88" i="16" s="1"/>
  <c r="N28" i="24" s="1" a="1"/>
  <c r="N28" i="24"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AM12" i="24" l="1"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<sst xmlns="http://schemas.openxmlformats.org/spreadsheetml/2006/main" count="893" uniqueCount="629">
  <si>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</si>
  <si>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</si>
  <si>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</si>
  <si>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</si>
  <si>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</si>
  <si>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</si>
  <si>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</si>
  <si>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</si>
  <si>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</si>
  <si>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</si>
  <si>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</si>
  <si>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</si>
  <si>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</si>
  <si>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</si>
  <si>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</si>
  <si>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</si>
  <si>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</si>
  <si>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</si>
  <si>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</si>
  <si>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</si>
  <si>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</si>
  <si>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</si>
  <si>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</si>
  <si>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</si>
  <si>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</si>
  <si>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</si>
  <si>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</si>
  <si>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</si>
  <si>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</si>
  <si>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</si>
  <si>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</si>
  <si>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</si>
  <si>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</si>
  <si>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</si>
  <si>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</si>
  <si>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</si>
  <si>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</si>
  <si>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</si>
  <si>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</si>
  <si>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</si>
  <si>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</si>
  <si>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</si>
  <si>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</si>
  <si>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</si>
  <si>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</si>
  <si>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</si>
  <si>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</si>
  <si>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</si>
  <si>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</si>
  <si>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</si>
  <si>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</si>
  <si>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</si>
  <si>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</si>
  <si>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</si>
  <si>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</si>
  <si>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</si>
  <si>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</si>
  <si>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</si>
  <si>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</si>
  <si>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</si>
  <si>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</si>
  <si>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</si>
  <si>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</si>
  <si>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</si>
  <si>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</si>
  <si>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</si>
  <si>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</si>
  <si>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</si>
  <si>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</si>
  <si>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</si>
  <si>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</si>
  <si>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</si>
  <si>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</si>
  <si>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</si>
  <si>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</si>
  <si>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</si>
  <si>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</si>
  <si>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</si>
  <si>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</si>
  <si>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</si>
  <si>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</si>
  <si>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</si>
  <si>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</si>
  <si>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</si>
  <si>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</si>
  <si>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</si>
  <si>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</si>
  <si>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</si>
  <si>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</si>
  <si>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</si>
  <si>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</si>
  <si>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</si>
  <si>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</si>
  <si>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</si>
  <si>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</si>
  <si>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</si>
  <si>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</si>
  <si>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</si>
  <si>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</si>
  <si>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</si>
  <si>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</si>
  <si>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</si>
  <si>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</si>
  <si>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</si>
  <si>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</si>
  <si>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</si>
  <si>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</si>
  <si>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</si>
  <si>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</si>
  <si>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</si>
  <si>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</si>
  <si>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</si>
  <si>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</si>
  <si>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</si>
  <si>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</si>
  <si>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</si>
  <si>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</si>
  <si>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</si>
  <si>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</si>
  <si>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</si>
  <si>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</si>
  <si>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</si>
  <si>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</si>
  <si>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</si>
  <si>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</si>
  <si>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</si>
  <si>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</si>
  <si>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</si>
  <si>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</si>
  <si>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</si>
  <si>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</si>
  <si>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</si>
  <si>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</si>
  <si>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</si>
  <si>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</si>
  <si>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</si>
  <si>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</si>
  <si>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</si>
  <si>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</si>
  <si>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</si>
  <si>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</si>
  <si>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</si>
  <si>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</si>
  <si>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</si>
  <si>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</si>
  <si>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</si>
  <si>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</si>
  <si>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</si>
  <si>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</si>
  <si>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</si>
  <si>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</si>
  <si>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</si>
  <si>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</si>
  <si>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</si>
  <si>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</si>
  <si>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</si>
  <si>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</si>
  <si>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</si>
  <si>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</si>
  <si>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</si>
  <si>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</si>
  <si>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</si>
  <si>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</si>
  <si>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</si>
  <si>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</si>
  <si>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</si>
  <si>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</si>
  <si>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</si>
  <si>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</si>
  <si>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</si>
  <si>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</si>
  <si>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</si>
  <si>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</si>
  <si>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</si>
  <si>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</si>
  <si>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</si>
  <si>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</si>
  <si>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</si>
  <si>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</si>
  <si>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</si>
  <si>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</si>
  <si>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</si>
  <si>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</si>
  <si>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</si>
  <si>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</si>
  <si>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</si>
  <si>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</si>
  <si>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</si>
  <si>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</si>
  <si>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</si>
  <si>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</si>
  <si>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</si>
  <si>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</si>
  <si>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</si>
  <si>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</si>
  <si>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</si>
  <si>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</si>
  <si>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</si>
  <si>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</si>
  <si>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</si>
  <si>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</si>
  <si>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</si>
  <si>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</si>
  <si>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</si>
  <si>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</si>
  <si>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</si>
  <si>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</si>
  <si>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</si>
  <si>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</si>
  <si>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</si>
  <si>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</si>
  <si>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</si>
  <si>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</si>
  <si>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</si>
  <si>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</si>
  <si>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</si>
  <si>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</si>
  <si>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</si>
  <si>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</si>
  <si>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</si>
  <si>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</si>
  <si>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</si>
  <si>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</si>
  <si>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</si>
  <si>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</si>
  <si>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</si>
  <si>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</si>
  <si>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</si>
  <si>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</si>
  <si>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</si>
  <si>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</si>
  <si>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</si>
  <si>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</si>
  <si>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</si>
  <si>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</si>
  <si>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</si>
  <si>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</si>
  <si>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</si>
  <si>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</si>
  <si>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</si>
  <si>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</si>
  <si>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</si>
  <si>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</si>
  <si>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</si>
  <si>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</si>
  <si>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</si>
  <si>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</si>
  <si>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</si>
  <si>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</si>
  <si>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</si>
  <si>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</si>
  <si>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</si>
  <si>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</si>
  <si>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</si>
  <si>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</si>
  <si>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</si>
  <si>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</si>
  <si>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</si>
  <si>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</si>
  <si>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</si>
  <si>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</si>
  <si>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</si>
  <si>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</si>
  <si>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</si>
  <si>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</si>
  <si>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</si>
  <si>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</si>
  <si>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</si>
  <si>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</si>
  <si>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</si>
  <si>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</si>
  <si>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</si>
  <si>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</si>
  <si>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</si>
  <si>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</si>
  <si>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</si>
  <si>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</si>
  <si>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</si>
  <si>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</si>
  <si>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</si>
  <si>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</si>
  <si>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</si>
  <si>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</si>
  <si>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</si>
  <si>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</si>
  <si>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</si>
  <si>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</si>
  <si>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</si>
  <si>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</si>
  <si>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</si>
  <si>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</si>
  <si>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</si>
  <si>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</si>
  <si>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</si>
  <si>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</si>
  <si>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</si>
  <si>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</si>
  <si>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</si>
  <si>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</si>
  <si>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</si>
  <si>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</si>
  <si>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</si>
  <si>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</si>
  <si>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</si>
  <si>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</si>
  <si>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</si>
  <si>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</si>
  <si>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</si>
  <si>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</si>
  <si>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</si>
  <si>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</si>
  <si>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</si>
  <si>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</si>
  <si>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</si>
  <si>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</si>
  <si>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</si>
  <si>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</si>
  <si>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</si>
  <si>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</si>
  <si>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</si>
  <si>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</si>
  <si>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</si>
  <si>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</si>
  <si>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</si>
  <si>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</si>
  <si>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</si>
  <si>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</si>
  <si>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</si>
  <si>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</si>
  <si>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</si>
  <si>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</si>
  <si>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</si>
  <si>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</si>
  <si>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</si>
  <si>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</si>
  <si>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</si>
  <si>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</si>
  <si>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</si>
  <si>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</si>
  <si>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</si>
  <si>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</si>
  <si>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</si>
  <si>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</si>
  <si>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</si>
  <si>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</si>
  <si>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</si>
  <si>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</si>
  <si>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</si>
  <si>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</si>
  <si>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</si>
  <si>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</si>
  <si>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</si>
  <si>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</si>
  <si>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</si>
  <si>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</si>
  <si>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</si>
  <si>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</si>
  <si>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</si>
  <si>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</si>
  <si>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</si>
  <si>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</si>
  <si>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</si>
  <si>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</si>
  <si>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</si>
  <si>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</si>
  <si>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</si>
  <si>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</si>
  <si>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</si>
  <si>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</si>
  <si>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</si>
  <si>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</si>
  <si>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</si>
  <si>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</si>
  <si>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</si>
  <si>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</si>
  <si>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</si>
  <si>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</si>
  <si>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</si>
  <si>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</si>
  <si>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</si>
  <si>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</si>
  <si>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</si>
  <si>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</si>
  <si>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</si>
  <si>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</si>
  <si>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</si>
  <si>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</si>
  <si>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</si>
  <si>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</si>
  <si>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</si>
  <si>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</si>
  <si>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</si>
  <si>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</si>
  <si>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</si>
  <si>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</si>
  <si>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</si>
  <si>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</si>
  <si>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</si>
  <si>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</si>
  <si>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</si>
  <si>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</si>
  <si>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</si>
  <si>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</si>
  <si>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</si>
  <si>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</si>
  <si>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</si>
  <si>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</si>
  <si>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</si>
  <si>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</si>
  <si>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</si>
  <si>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</si>
  <si>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</si>
  <si>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</si>
  <si>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</si>
  <si>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</si>
  <si>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</si>
  <si>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</si>
  <si>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</si>
  <si>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</si>
  <si>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</si>
  <si>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</si>
  <si>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</si>
  <si>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</si>
  <si>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</si>
  <si>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</si>
  <si>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</si>
  <si>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</si>
  <si>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</si>
  <si>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</si>
  <si>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</si>
  <si>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</si>
  <si>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</si>
  <si>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</si>
  <si>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</si>
  <si>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</si>
  <si>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</si>
  <si>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</si>
  <si>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</si>
  <si>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</si>
  <si>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</si>
  <si>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</si>
  <si>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</si>
  <si>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</si>
  <si>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</si>
  <si>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</si>
  <si>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</si>
  <si>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</si>
  <si>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</si>
  <si>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</si>
  <si>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</si>
  <si>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</si>
  <si>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</si>
  <si>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</si>
  <si>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</si>
  <si>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</si>
  <si>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</si>
  <si>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</si>
  <si>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</si>
  <si>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</si>
  <si>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</si>
  <si>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</si>
  <si>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</si>
  <si>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</si>
  <si>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</si>
  <si>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</si>
  <si>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</si>
  <si>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</si>
  <si>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</si>
  <si>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</si>
  <si>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</si>
  <si>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</si>
  <si>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</si>
  <si>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</si>
  <si>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</si>
  <si>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</si>
  <si>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</si>
  <si>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</si>
  <si>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</si>
  <si>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</si>
  <si>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</si>
  <si>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</si>
  <si>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</si>
  <si>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</si>
  <si>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</si>
  <si>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</si>
  <si>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</si>
  <si>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</si>
  <si>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</si>
  <si>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</si>
  <si>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</si>
  <si>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</si>
  <si>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</si>
  <si>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</si>
  <si>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</si>
  <si>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</si>
  <si>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</si>
  <si>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</si>
  <si>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</si>
  <si>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</si>
  <si>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</si>
  <si>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</si>
  <si>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</si>
  <si>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</si>
  <si>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</si>
  <si>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</si>
  <si>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</si>
  <si>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</si>
  <si>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</si>
  <si>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</si>
  <si>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</si>
  <si>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</si>
  <si>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</si>
  <si>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</si>
  <si>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</si>
  <si>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</si>
  <si>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</si>
  <si>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</si>
  <si>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</si>
  <si>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</si>
  <si>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</si>
  <si>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</si>
  <si>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</si>
  <si>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</si>
  <si>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</si>
  <si>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</si>
  <si>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All published engines use the player-safe Coach wrappers</t>
  </si>
  <si>
    <t>Hint and Trace share the transparent fallback contract</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</si>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</sst>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552</v>
      </c>
      <c r="B1" s="96"/>
      <c r="C1" s="96"/>
      <c r="D1" s="96"/>
      <c r="E1" s="96"/>
      <c r="F1" s="96"/>
      <c r="G1" s="96"/>
      <c r="H1" s="96"/>
      <c r="I1" s="96"/>
      <c r="J1" s="96"/>
    </row>
    <row r="2" spans="1:10" ht="24" customHeight="1">
      <c r="A2" s="97" t="s">
        <v>572</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583</v>
      </c>
      <c r="B10" s="72"/>
      <c r="C10" s="72"/>
      <c r="D10" s="72"/>
      <c r="E10" s="72"/>
      <c r="F10" s="72"/>
      <c r="G10" s="72"/>
      <c r="H10" s="72"/>
      <c r="I10" s="72"/>
      <c r="J10" s="72"/>
    </row>
    <row r="11" spans="1:10" ht="30" customHeight="1">
      <c r="A11" s="76" t="s">
        <v>584</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556</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557</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585</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573</v>
      </c>
      <c r="B21" s="94"/>
      <c r="C21" s="94"/>
      <c r="D21" s="94"/>
      <c r="E21" s="94"/>
      <c r="F21" s="94"/>
      <c r="G21" s="94"/>
      <c r="H21" s="94"/>
      <c r="I21" s="94"/>
      <c r="J21" s="94"/>
    </row>
    <row r="22" spans="1:10" ht="22" customHeight="1">
      <c r="A22" s="94" t="s">
        <v>574</v>
      </c>
      <c r="B22" s="94"/>
      <c r="C22" s="94"/>
      <c r="D22" s="94"/>
      <c r="E22" s="94"/>
      <c r="F22" s="94"/>
      <c r="G22" s="94"/>
      <c r="H22" s="94"/>
      <c r="I22" s="94"/>
      <c r="J22" s="94"/>
    </row>
    <row r="23" spans="1:10" ht="22" customHeight="1">
      <c r="A23" s="76" t="s">
        <v>575</v>
      </c>
      <c r="B23" s="93"/>
      <c r="C23" s="93"/>
      <c r="D23" s="93"/>
      <c r="E23" s="93"/>
      <c r="F23" s="93"/>
      <c r="G23" s="93"/>
      <c r="H23" s="93"/>
      <c r="I23" s="93"/>
      <c r="J23" s="93"/>
    </row>
    <row r="24" spans="1:10" ht="22" customHeight="1">
      <c r="A24" s="76" t="s">
        <v>576</v>
      </c>
      <c r="B24" s="93"/>
      <c r="C24" s="93"/>
      <c r="D24" s="93"/>
      <c r="E24" s="93"/>
      <c r="F24" s="93"/>
      <c r="G24" s="93"/>
      <c r="H24" s="93"/>
      <c r="I24" s="93"/>
      <c r="J24" s="93"/>
    </row>
    <row r="25" spans="1:10" ht="22" customHeight="1">
      <c r="A25" s="76" t="s">
        <v>577</v>
      </c>
      <c r="B25" s="93"/>
      <c r="C25" s="93"/>
      <c r="D25" s="93"/>
      <c r="E25" s="93"/>
      <c r="F25" s="93"/>
      <c r="G25" s="93"/>
      <c r="H25" s="93"/>
      <c r="I25" s="93"/>
      <c r="J25" s="93"/>
    </row>
    <row r="26" spans="1:10" ht="28" customHeight="1">
      <c r="A26" s="76" t="s">
        <v>578</v>
      </c>
      <c r="B26" s="93"/>
      <c r="C26" s="93"/>
      <c r="D26" s="93"/>
      <c r="E26" s="93"/>
      <c r="F26" s="93"/>
      <c r="G26" s="93"/>
      <c r="H26" s="93"/>
      <c r="I26" s="93"/>
      <c r="J26" s="93"/>
    </row>
    <row r="27" spans="1:10" ht="34" customHeight="1">
      <c r="A27" s="103" t="s">
        <v>558</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559</v>
      </c>
      <c r="B30" s="76"/>
      <c r="C30" s="76"/>
      <c r="D30" s="76"/>
      <c r="E30" s="76"/>
      <c r="F30" s="76"/>
      <c r="G30" s="76"/>
      <c r="H30" s="76"/>
      <c r="I30" s="76"/>
      <c r="J30" s="76"/>
    </row>
    <row r="31" spans="1:10" ht="24" customHeight="1">
      <c r="A31" s="76" t="s">
        <v>560</v>
      </c>
      <c r="B31" s="76"/>
      <c r="C31" s="76"/>
      <c r="D31" s="76"/>
      <c r="E31" s="76"/>
      <c r="F31" s="76"/>
      <c r="G31" s="76"/>
      <c r="H31" s="76"/>
      <c r="I31" s="76"/>
      <c r="J31" s="76"/>
    </row>
    <row r="32" spans="1:10" ht="24" customHeight="1">
      <c r="A32" s="76" t="s">
        <v>561</v>
      </c>
      <c r="B32" s="76"/>
      <c r="C32" s="76"/>
      <c r="D32" s="76"/>
      <c r="E32" s="76"/>
      <c r="F32" s="76"/>
      <c r="G32" s="76"/>
      <c r="H32" s="76"/>
      <c r="I32" s="76"/>
      <c r="J32" s="76"/>
    </row>
    <row r="33" spans="1:10" ht="24" customHeight="1">
      <c r="A33" s="76" t="s">
        <v>562</v>
      </c>
      <c r="B33" s="93"/>
      <c r="C33" s="93"/>
      <c r="D33" s="93"/>
      <c r="E33" s="93"/>
      <c r="F33" s="93"/>
      <c r="G33" s="93"/>
      <c r="H33" s="93"/>
      <c r="I33" s="93"/>
      <c r="J33" s="93"/>
    </row>
    <row r="34" spans="1:10" ht="30" customHeight="1">
      <c r="A34" s="76" t="s">
        <v>563</v>
      </c>
      <c r="B34" s="93"/>
      <c r="C34" s="93"/>
      <c r="D34" s="93"/>
      <c r="E34" s="93"/>
      <c r="F34" s="93"/>
      <c r="G34" s="93"/>
      <c r="H34" s="93"/>
      <c r="I34" s="93"/>
      <c r="J34" s="93"/>
    </row>
    <row r="35" spans="1:10" ht="30" customHeight="1">
      <c r="A35" s="76" t="s">
        <v>564</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579</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586</v>
      </c>
      <c r="E42" s="69"/>
      <c r="F42" s="69"/>
      <c r="G42" s="69"/>
      <c r="H42" s="69"/>
      <c r="I42" s="69"/>
      <c r="J42" s="69"/>
    </row>
    <row r="43" spans="1:10" ht="10" customHeight="1">
      <c r="A43" s="63"/>
      <c r="B43" s="63"/>
      <c r="C43" s="63"/>
      <c r="D43" s="63"/>
      <c r="E43" s="63"/>
      <c r="F43" s="63"/>
      <c r="G43" s="63"/>
      <c r="H43" s="63"/>
      <c r="I43" s="63"/>
      <c r="J43" s="63"/>
    </row>
    <row r="44" spans="1:10" ht="20" customHeight="1">
      <c r="A44" s="72" t="s">
        <v>553</v>
      </c>
      <c r="B44" s="72"/>
      <c r="C44" s="72"/>
      <c r="D44" s="72"/>
      <c r="E44" s="72"/>
      <c r="F44" s="72"/>
      <c r="G44" s="72"/>
      <c r="H44" s="72"/>
      <c r="I44" s="72"/>
      <c r="J44" s="72"/>
    </row>
    <row r="45" spans="1:10" ht="30" customHeight="1">
      <c r="A45" s="80" t="s">
        <v>554</v>
      </c>
      <c r="B45" s="81"/>
      <c r="C45" s="81"/>
      <c r="D45" s="77" t="str">
        <f ca="1">COUNTIF(_Tests!$E:$E,"PASS")&amp;" checks passing · "&amp;COUNTIF(_Tests!$E:$E,"SKIP")&amp;" on demand"</f>
        <v>93 checks passing · 18 on demand</v>
      </c>
      <c r="E45" s="78"/>
      <c r="F45" s="78"/>
      <c r="G45" s="78"/>
      <c r="H45" s="78"/>
      <c r="I45" s="78"/>
      <c r="J45" s="79"/>
    </row>
    <row r="46" spans="1:10" ht="30" customHeight="1">
      <c r="A46" s="80" t="s">
        <v>555</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565</v>
      </c>
      <c r="B49" s="76"/>
      <c r="C49" s="76"/>
      <c r="D49" s="76"/>
      <c r="E49" s="76"/>
      <c r="F49" s="76"/>
      <c r="G49" s="76"/>
      <c r="H49" s="76"/>
      <c r="I49" s="76"/>
      <c r="J49" s="76"/>
    </row>
    <row r="50" spans="1:10" ht="26" customHeight="1">
      <c r="A50" s="76" t="s">
        <v>566</v>
      </c>
      <c r="B50" s="76"/>
      <c r="C50" s="76"/>
      <c r="D50" s="76"/>
      <c r="E50" s="76"/>
      <c r="F50" s="76"/>
      <c r="G50" s="76"/>
      <c r="H50" s="76"/>
      <c r="I50" s="76"/>
      <c r="J50" s="76"/>
    </row>
    <row r="51" spans="1:10" ht="34" customHeight="1">
      <c r="A51" s="76" t="s">
        <v>567</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587</v>
      </c>
      <c r="B53" s="72"/>
      <c r="C53" s="72"/>
      <c r="D53" s="72"/>
      <c r="E53" s="72"/>
      <c r="F53" s="72"/>
      <c r="G53" s="72"/>
      <c r="H53" s="72"/>
      <c r="I53" s="72"/>
      <c r="J53" s="72"/>
    </row>
    <row r="54" spans="1:10" ht="24" customHeight="1">
      <c r="A54" s="73" t="s">
        <v>588</v>
      </c>
      <c r="B54" s="73"/>
      <c r="C54" s="73"/>
      <c r="D54" s="74" t="s">
        <v>589</v>
      </c>
      <c r="E54" s="74"/>
      <c r="F54" s="74"/>
      <c r="G54" s="74"/>
      <c r="H54" s="74"/>
      <c r="I54" s="74"/>
      <c r="J54" s="74"/>
    </row>
    <row r="55" spans="1:10" ht="24" customHeight="1">
      <c r="A55" s="70" t="s">
        <v>590</v>
      </c>
      <c r="B55" s="70"/>
      <c r="C55" s="70"/>
      <c r="D55" s="75">
        <f>DATE(2026,7,27)</f>
        <v>46230</v>
      </c>
      <c r="E55" s="71"/>
      <c r="F55" s="71"/>
      <c r="G55" s="71"/>
      <c r="H55" s="71"/>
      <c r="I55" s="71"/>
      <c r="J55" s="71"/>
    </row>
    <row r="56" spans="1:10" ht="24" customHeight="1">
      <c r="A56" s="70" t="s">
        <v>591</v>
      </c>
      <c r="B56" s="70"/>
      <c r="C56" s="70"/>
      <c r="D56" s="71" t="s">
        <v>592</v>
      </c>
      <c r="E56" s="71"/>
      <c r="F56" s="71"/>
      <c r="G56" s="71"/>
      <c r="H56" s="71"/>
      <c r="I56" s="71"/>
      <c r="J56" s="71"/>
    </row>
    <row r="57" spans="1:10" ht="24" customHeight="1">
      <c r="A57" s="70" t="s">
        <v>593</v>
      </c>
      <c r="B57" s="70"/>
      <c r="C57" s="70"/>
      <c r="D57" s="71" t="s">
        <v>594</v>
      </c>
      <c r="E57" s="71"/>
      <c r="F57" s="71"/>
      <c r="G57" s="71"/>
      <c r="H57" s="71"/>
      <c r="I57" s="71"/>
      <c r="J57" s="71"/>
    </row>
    <row r="58" spans="1:10" ht="30" customHeight="1">
      <c r="A58" s="68" t="s">
        <v>595</v>
      </c>
      <c r="B58" s="68"/>
      <c r="C58" s="68"/>
      <c r="D58" s="69" t="s">
        <v>596</v>
      </c>
      <c r="E58" s="69"/>
      <c r="F58" s="69"/>
      <c r="G58" s="69"/>
      <c r="H58" s="69"/>
      <c r="I58" s="69"/>
      <c r="J58" s="69"/>
    </row>
    <row r="59" spans="1:10" ht="30" customHeight="1">
      <c r="A59" s="68" t="s">
        <v>597</v>
      </c>
      <c r="B59" s="68"/>
      <c r="C59" s="68"/>
      <c r="D59" s="69" t="s">
        <v>598</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550</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551</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569</v>
      </c>
      <c r="B1" s="120"/>
      <c r="C1" s="120"/>
      <c r="D1" s="120"/>
      <c r="E1" s="120"/>
      <c r="F1" s="120"/>
    </row>
    <row r="2" spans="1:6" ht="18" customHeight="1">
      <c r="A2" s="122" t="s">
        <v>570</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571</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568</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527</v>
      </c>
      <c r="B66" s="121"/>
      <c r="C66" s="121"/>
      <c r="D66" s="121"/>
      <c r="E66" s="121"/>
      <c r="F66" s="121"/>
    </row>
    <row r="67" spans="1:6" ht="42">
      <c r="A67" s="67" t="s">
        <v>528</v>
      </c>
      <c r="B67" s="66" t="s">
        <v>529</v>
      </c>
      <c r="C67" s="66" t="s">
        <v>14</v>
      </c>
      <c r="D67" s="66" t="s">
        <v>530</v>
      </c>
      <c r="E67" s="66" t="s">
        <v>531</v>
      </c>
      <c r="F67" s="66" t="s">
        <v>532</v>
      </c>
    </row>
    <row r="68" spans="1:6" ht="42">
      <c r="A68" s="67" t="s">
        <v>533</v>
      </c>
      <c r="B68" s="66" t="s">
        <v>534</v>
      </c>
      <c r="C68" s="66" t="s">
        <v>14</v>
      </c>
      <c r="D68" s="66" t="s">
        <v>535</v>
      </c>
      <c r="E68" s="66" t="s">
        <v>536</v>
      </c>
      <c r="F68" s="66" t="s">
        <v>537</v>
      </c>
    </row>
    <row r="69" spans="1:6" ht="28">
      <c r="A69" s="67" t="s">
        <v>538</v>
      </c>
      <c r="B69" s="66" t="s">
        <v>539</v>
      </c>
      <c r="C69" s="66" t="s">
        <v>14</v>
      </c>
      <c r="D69" s="66" t="s">
        <v>540</v>
      </c>
      <c r="E69" s="66" t="s">
        <v>541</v>
      </c>
      <c r="F69" s="66" t="s">
        <v>542</v>
      </c>
    </row>
    <row r="70" spans="1:6" ht="28">
      <c r="A70" s="67" t="s">
        <v>543</v>
      </c>
      <c r="B70" s="66" t="s">
        <v>544</v>
      </c>
      <c r="C70" s="66" t="s">
        <v>545</v>
      </c>
      <c r="D70" s="66" t="s">
        <v>256</v>
      </c>
      <c r="E70" s="66" t="s">
        <v>479</v>
      </c>
      <c r="F70" s="66" t="s">
        <v>546</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6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627</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628</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599</v>
      </c>
      <c r="B138" t="s">
        <v>600</v>
      </c>
      <c r="E138" t="s">
        <v>601</v>
      </c>
    </row>
    <row r="139" spans="1:5">
      <c r="A139" t="s">
        <v>602</v>
      </c>
      <c r="B139" t="s">
        <v>603</v>
      </c>
      <c r="E139" t="s">
        <v>601</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525</v>
      </c>
      <c r="B145" t="s">
        <v>526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Expert'!$B$88))),ISNUMBER(SEARCH("SDK_PlayerHint",_xlfn.FORMULATEXT('_Engine Master'!$B$88))))</f>
        <v>1</v>
      </c>
      <c r="E145" t="str">
        <f ca="1">IF(D145=C145,"PASS","FAIL")</f>
        <v>PASS</v>
      </c>
    </row>
    <row r="146" spans="1:5">
      <c r="A146" t="s">
        <v>604</v>
      </c>
      <c r="B146" t="s">
        <v>605</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580</v>
      </c>
    </row>
    <row r="148" spans="1:5">
      <c r="A148" t="s">
        <v>581</v>
      </c>
      <c r="B148" t="s">
        <v>582</v>
      </c>
      <c r="C148" t="b">
        <v>1</v>
      </c>
      <c r="D148" t="b">
        <f>AND('01 Easy'!$AM$20="",'02 Medium'!$AM$20="",'03 Hard'!$AM$20="",'04 Expert'!$AM$20="",'05 Master'!$AM$20="")</f>
        <v>1</v>
      </c>
      <c r="E148" t="str">
        <f>IF(D148=C148,"PASS","FAIL")</f>
        <v>PASS</v>
      </c>
    </row>
    <row r="149" spans="1:5">
      <c r="A149" s="54" t="s">
        <v>606</v>
      </c>
    </row>
    <row r="150" spans="1:5">
      <c r="A150" t="s">
        <v>607</v>
      </c>
      <c r="B150" t="s">
        <v>608</v>
      </c>
      <c r="C150" t="b">
        <v>1</v>
      </c>
      <c r="D150" t="b">
        <f>IF('01 Easy'!$AS$11="Verify",IF(LEFT('01 Easy'!$AM$5,6)="SOLVED",'01 Easy'!$AM$12="Puzzle complete.",TRUE),TRUE)</f>
        <v>1</v>
      </c>
      <c r="E150" t="str">
        <f t="shared" ref="E150:E158" si="7">IF(D150=C150,"PASS","FAIL")</f>
        <v>PASS</v>
      </c>
    </row>
    <row r="151" spans="1:5">
      <c r="A151" t="s">
        <v>609</v>
      </c>
      <c r="B151" t="s">
        <v>608</v>
      </c>
      <c r="C151" t="b">
        <v>1</v>
      </c>
      <c r="D151" t="b">
        <f>IF('02 Medium'!$AS$11="Verify",IF(LEFT('02 Medium'!$AM$5,6)="SOLVED",'02 Medium'!$AM$12="Puzzle complete.",TRUE),TRUE)</f>
        <v>1</v>
      </c>
      <c r="E151" t="str">
        <f t="shared" si="7"/>
        <v>PASS</v>
      </c>
    </row>
    <row r="152" spans="1:5">
      <c r="A152" t="s">
        <v>610</v>
      </c>
      <c r="B152" t="s">
        <v>608</v>
      </c>
      <c r="C152" t="b">
        <v>1</v>
      </c>
      <c r="D152" t="b">
        <f>IF('03 Hard'!$AS$11="Verify",IF(LEFT('03 Hard'!$AM$5,6)="SOLVED",'03 Hard'!$AM$12="Puzzle complete.",TRUE),TRUE)</f>
        <v>1</v>
      </c>
      <c r="E152" t="str">
        <f t="shared" si="7"/>
        <v>PASS</v>
      </c>
    </row>
    <row r="153" spans="1:5">
      <c r="A153" t="s">
        <v>611</v>
      </c>
      <c r="B153" t="s">
        <v>608</v>
      </c>
      <c r="C153" t="b">
        <v>1</v>
      </c>
      <c r="D153" t="b">
        <f>IF('04 Expert'!$AS$11="Verify",IF(LEFT('04 Expert'!$AM$5,6)="SOLVED",'04 Expert'!$AM$12="Puzzle complete.",TRUE),TRUE)</f>
        <v>1</v>
      </c>
      <c r="E153" t="str">
        <f t="shared" si="7"/>
        <v>PASS</v>
      </c>
    </row>
    <row r="154" spans="1:5">
      <c r="A154" t="s">
        <v>612</v>
      </c>
      <c r="B154" t="s">
        <v>608</v>
      </c>
      <c r="C154" t="b">
        <v>1</v>
      </c>
      <c r="D154" t="b">
        <f>IF('05 Master'!$AS$11="Verify",IF(LEFT('05 Master'!$AM$5,6)="SOLVED",'05 Master'!$AM$12="Puzzle complete.",TRUE),TRUE)</f>
        <v>1</v>
      </c>
      <c r="E154" t="str">
        <f t="shared" si="7"/>
        <v>PASS</v>
      </c>
    </row>
    <row r="155" spans="1:5">
      <c r="A155" t="s">
        <v>613</v>
      </c>
      <c r="B155" t="s">
        <v>614</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615</v>
      </c>
      <c r="B156" t="s">
        <v>616</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617</v>
      </c>
      <c r="B157" t="s">
        <v>614</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618</v>
      </c>
      <c r="B158" t="s">
        <v>616</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619</v>
      </c>
      <c r="B159" t="s">
        <v>620</v>
      </c>
      <c r="C159" t="b">
        <v>1</v>
      </c>
      <c r="D159" t="b" cm="1">
        <f t="array" ref="D159">_xlfn.LET(_xlpm.h,SDK_PointingRowHint(_Engine!$B$27:$J$35),AND(SDK_CoordRole(_xlpm.h,"R2C2")="SOURCE",SDK_CoordRole(_xlpm.h,"R2C3")="SOURCE"))</f>
        <v>1</v>
      </c>
      <c r="E159" t="str">
        <f>IF(D159=C159,"PASS","FAIL")</f>
        <v>PASS</v>
      </c>
    </row>
    <row r="160" spans="1:5">
      <c r="A160" t="s">
        <v>621</v>
      </c>
      <c r="B160" t="s">
        <v>622</v>
      </c>
      <c r="C160" t="b">
        <v>1</v>
      </c>
      <c r="D160" t="b" cm="1">
        <f t="array" ref="D160">_xlfn.LET(_xlpm.h,SDK_PointingColHint(_Engine!$B$27:$J$35),AND(SDK_CoordRole(_xlpm.h,"R4C3")="SOURCE",SDK_CoordRole(_xlpm.h,"R5C3")="SOURCE",SDK_CoordRole(_xlpm.h,"R6C3")="SOURCE"))</f>
        <v>1</v>
      </c>
      <c r="E160" t="str">
        <f>IF(D160=C160,"PASS","FAIL")</f>
        <v>PASS</v>
      </c>
    </row>
    <row r="161" spans="1:5">
      <c r="A161" t="s">
        <v>623</v>
      </c>
      <c r="B161" t="s">
        <v>624</v>
      </c>
      <c r="C161" t="b">
        <v>1</v>
      </c>
      <c r="D161" t="b" cm="1">
        <f t="array" ref="D161">_xlfn.LET(_xlpm.h,SDK_HintClaimingRow(_Engine!$B$27:$J$35),AND(SDK_CoordRole(_xlpm.h,"R2C7")="SOURCE",SDK_CoordRole(_xlpm.h,"R2C8")="SOURCE"))</f>
        <v>1</v>
      </c>
      <c r="E161" t="str">
        <f>IF(D161=C161,"PASS","FAIL")</f>
        <v>PASS</v>
      </c>
    </row>
    <row r="162" spans="1:5">
      <c r="A162" t="s">
        <v>625</v>
      </c>
      <c r="B162" t="s">
        <v>626</v>
      </c>
      <c r="C162" t="b">
        <v>1</v>
      </c>
      <c r="D162" t="b" cm="1">
        <f t="array" ref="D162">_xlfn.LET(_xlpm.h,SDK_HintClaimingCol(_Engine!$B$27:$J$35),AND(SDK_CoordRole(_xlpm.h,"R7C1")="SOURCE",SDK_CoordRole(_xlpm.h,"R8C1")="SOURCE",SDK_CoordRole(_xlpm.h,"R9C1")="SOURCE"))</f>
        <v>1</v>
      </c>
      <c r="E162" t="str">
        <f>IF(D162=C162,"PASS","FAIL")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2568</v>
      </c>
      <c r="D15" s="3" t="str" cm="1">
        <f t="array" ref="D15">SDK_Candidates($B$3:$J$11,1,3)</f>
        <v>2468</v>
      </c>
      <c r="E15" s="3" t="str" cm="1">
        <f t="array" ref="E15">SDK_Candidates($B$3:$J$11,1,4)</f>
        <v>458</v>
      </c>
      <c r="F15" s="3" t="str" cm="1">
        <f t="array" ref="F15">SDK_Candidates($B$3:$J$11,1,5)</f>
        <v>345</v>
      </c>
      <c r="G15" s="3" t="str" cm="1">
        <f t="array" ref="G15">SDK_Candidates($B$3:$J$11,1,6)</f>
        <v/>
      </c>
      <c r="H15" s="3" t="str" cm="1">
        <f t="array" ref="H15">SDK_Candidates($B$3:$J$11,1,7)</f>
        <v>246</v>
      </c>
      <c r="I15" s="3" t="str" cm="1">
        <f t="array" ref="I15">SDK_Candidates($B$3:$J$11,1,8)</f>
        <v/>
      </c>
      <c r="J15" s="3" t="str" cm="1">
        <f t="array" ref="J15">SDK_Candidates($B$3:$J$11,1,9)</f>
        <v>346</v>
      </c>
    </row>
    <row r="16" spans="1:10">
      <c r="A16" s="3"/>
      <c r="B16" s="3" t="str" cm="1">
        <f t="array" ref="B16">SDK_Candidates($B$3:$J$11,2,1)</f>
        <v>457</v>
      </c>
      <c r="C16" s="3" t="str" cm="1">
        <f t="array" ref="C16">SDK_Candidates($B$3:$J$11,2,2)</f>
        <v/>
      </c>
      <c r="D16" s="3" t="str" cm="1">
        <f t="array" ref="D16">SDK_Candidates($B$3:$J$11,2,3)</f>
        <v>46</v>
      </c>
      <c r="E16" s="3" t="str" cm="1">
        <f t="array" ref="E16">SDK_Candidates($B$3:$J$11,2,4)</f>
        <v>1459</v>
      </c>
      <c r="F16" s="3" t="str" cm="1">
        <f t="array" ref="F16">SDK_Candidates($B$3:$J$11,2,5)</f>
        <v/>
      </c>
      <c r="G16" s="3" t="str" cm="1">
        <f t="array" ref="G16">SDK_Candidates($B$3:$J$11,2,6)</f>
        <v>159</v>
      </c>
      <c r="H16" s="3" t="str" cm="1">
        <f t="array" ref="H16">SDK_Candidates($B$3:$J$11,2,7)</f>
        <v>1467</v>
      </c>
      <c r="I16" s="3" t="str" cm="1">
        <f t="array" ref="I16">SDK_Candidates($B$3:$J$11,2,8)</f>
        <v>467</v>
      </c>
      <c r="J16" s="3" t="str" cm="1">
        <f t="array" ref="J16">SDK_Candidates($B$3:$J$11,2,9)</f>
        <v/>
      </c>
    </row>
    <row r="17" spans="1:10">
      <c r="A17" s="3"/>
      <c r="B17" s="3" t="str" cm="1">
        <f t="array" ref="B17">SDK_Candidates($B$3:$J$11,3,1)</f>
        <v>2478</v>
      </c>
      <c r="C17" s="3" t="str" cm="1">
        <f t="array" ref="C17">SDK_Candidates($B$3:$J$11,3,2)</f>
        <v>278</v>
      </c>
      <c r="D17" s="3" t="str" cm="1">
        <f t="array" ref="D17">SDK_Candidates($B$3:$J$11,3,3)</f>
        <v/>
      </c>
      <c r="E17" s="3" t="str" cm="1">
        <f t="array" ref="E17">SDK_Candidates($B$3:$J$11,3,4)</f>
        <v/>
      </c>
      <c r="F17" s="3" t="str" cm="1">
        <f t="array" ref="F17">SDK_Candidates($B$3:$J$11,3,5)</f>
        <v>134</v>
      </c>
      <c r="G17" s="3" t="str" cm="1">
        <f t="array" ref="G17">SDK_Candidates($B$3:$J$11,3,6)</f>
        <v>138</v>
      </c>
      <c r="H17" s="3" t="str" cm="1">
        <f t="array" ref="H17">SDK_Candidates($B$3:$J$11,3,7)</f>
        <v/>
      </c>
      <c r="I17" s="3" t="str" cm="1">
        <f t="array" ref="I17">SDK_Candidates($B$3:$J$11,3,8)</f>
        <v>2347</v>
      </c>
      <c r="J17" s="3" t="str" cm="1">
        <f t="array" ref="J17">SDK_Candidates($B$3:$J$11,3,9)</f>
        <v>134</v>
      </c>
    </row>
    <row r="18" spans="1:10">
      <c r="A18" s="3"/>
      <c r="B18" s="3" t="str" cm="1">
        <f t="array" ref="B18">SDK_Candidates($B$3:$J$11,4,1)</f>
        <v>2478</v>
      </c>
      <c r="C18" s="3" t="str" cm="1">
        <f t="array" ref="C18">SDK_Candidates($B$3:$J$11,4,2)</f>
        <v>278</v>
      </c>
      <c r="D18" s="3" t="str" cm="1">
        <f t="array" ref="D18">SDK_Candidates($B$3:$J$11,4,3)</f>
        <v/>
      </c>
      <c r="E18" s="3" t="str" cm="1">
        <f t="array" ref="E18">SDK_Candidates($B$3:$J$11,4,4)</f>
        <v/>
      </c>
      <c r="F18" s="3" t="str" cm="1">
        <f t="array" ref="F18">SDK_Candidates($B$3:$J$11,4,5)</f>
        <v>167</v>
      </c>
      <c r="G18" s="3" t="str" cm="1">
        <f t="array" ref="G18">SDK_Candidates($B$3:$J$11,4,6)</f>
        <v>126</v>
      </c>
      <c r="H18" s="3" t="str" cm="1">
        <f t="array" ref="H18">SDK_Candidates($B$3:$J$11,4,7)</f>
        <v/>
      </c>
      <c r="I18" s="3" t="str" cm="1">
        <f t="array" ref="I18">SDK_Candidates($B$3:$J$11,4,8)</f>
        <v>4678</v>
      </c>
      <c r="J18" s="3" t="str" cm="1">
        <f t="array" ref="J18">SDK_Candidates($B$3:$J$11,4,9)</f>
        <v>146</v>
      </c>
    </row>
    <row r="19" spans="1:10">
      <c r="A19" s="3"/>
      <c r="B19" s="3" t="str" cm="1">
        <f t="array" ref="B19">SDK_Candidates($B$3:$J$11,5,1)</f>
        <v>479</v>
      </c>
      <c r="C19" s="3" t="str" cm="1">
        <f t="array" ref="C19">SDK_Candidates($B$3:$J$11,5,2)</f>
        <v/>
      </c>
      <c r="D19" s="3" t="str" cm="1">
        <f t="array" ref="D19">SDK_Candidates($B$3:$J$11,5,3)</f>
        <v>34</v>
      </c>
      <c r="E19" s="3" t="str" cm="1">
        <f t="array" ref="E19">SDK_Candidates($B$3:$J$11,5,4)</f>
        <v>579</v>
      </c>
      <c r="F19" s="3" t="str" cm="1">
        <f t="array" ref="F19">SDK_Candidates($B$3:$J$11,5,5)</f>
        <v/>
      </c>
      <c r="G19" s="3" t="str" cm="1">
        <f t="array" ref="G19">SDK_Candidates($B$3:$J$11,5,6)</f>
        <v>569</v>
      </c>
      <c r="H19" s="3" t="str" cm="1">
        <f t="array" ref="H19">SDK_Candidates($B$3:$J$11,5,7)</f>
        <v>467</v>
      </c>
      <c r="I19" s="3" t="str" cm="1">
        <f t="array" ref="I19">SDK_Candidates($B$3:$J$11,5,8)</f>
        <v>34567</v>
      </c>
      <c r="J19" s="3" t="str" cm="1">
        <f t="array" ref="J19">SDK_Candidates($B$3:$J$11,5,9)</f>
        <v/>
      </c>
    </row>
    <row r="20" spans="1:10">
      <c r="A20" s="3"/>
      <c r="B20" s="3" t="str" cm="1">
        <f t="array" ref="B20">SDK_Candidates($B$3:$J$11,6,1)</f>
        <v/>
      </c>
      <c r="C20" s="3" t="str" cm="1">
        <f t="array" ref="C20">SDK_Candidates($B$3:$J$11,6,2)</f>
        <v>2789</v>
      </c>
      <c r="D20" s="3" t="str" cm="1">
        <f t="array" ref="D20">SDK_Candidates($B$3:$J$11,6,3)</f>
        <v>238</v>
      </c>
      <c r="E20" s="3" t="str" cm="1">
        <f t="array" ref="E20">SDK_Candidates($B$3:$J$11,6,4)</f>
        <v>12579</v>
      </c>
      <c r="F20" s="3" t="str" cm="1">
        <f t="array" ref="F20">SDK_Candidates($B$3:$J$11,6,5)</f>
        <v>1579</v>
      </c>
      <c r="G20" s="3" t="str" cm="1">
        <f t="array" ref="G20">SDK_Candidates($B$3:$J$11,6,6)</f>
        <v/>
      </c>
      <c r="H20" s="3" t="str" cm="1">
        <f t="array" ref="H20">SDK_Candidates($B$3:$J$11,6,7)</f>
        <v>178</v>
      </c>
      <c r="I20" s="3" t="str" cm="1">
        <f t="array" ref="I20">SDK_Candidates($B$3:$J$11,6,8)</f>
        <v>3578</v>
      </c>
      <c r="J20" s="3" t="str" cm="1">
        <f t="array" ref="J20">SDK_Candidates($B$3:$J$11,6,9)</f>
        <v>135</v>
      </c>
    </row>
    <row r="21" spans="1:10">
      <c r="A21" s="3"/>
      <c r="B21" s="3" t="str" cm="1">
        <f t="array" ref="B21">SDK_Candidates($B$3:$J$11,7,1)</f>
        <v/>
      </c>
      <c r="C21" s="3" t="str" cm="1">
        <f t="array" ref="C21">SDK_Candidates($B$3:$J$11,7,2)</f>
        <v>25689</v>
      </c>
      <c r="D21" s="3" t="str" cm="1">
        <f t="array" ref="D21">SDK_Candidates($B$3:$J$11,7,3)</f>
        <v>268</v>
      </c>
      <c r="E21" s="3" t="str" cm="1">
        <f t="array" ref="E21">SDK_Candidates($B$3:$J$11,7,4)</f>
        <v>245789</v>
      </c>
      <c r="F21" s="3" t="str" cm="1">
        <f t="array" ref="F21">SDK_Candidates($B$3:$J$11,7,5)</f>
        <v>45679</v>
      </c>
      <c r="G21" s="3" t="str" cm="1">
        <f t="array" ref="G21">SDK_Candidates($B$3:$J$11,7,6)</f>
        <v>25689</v>
      </c>
      <c r="H21" s="3" t="str" cm="1">
        <f t="array" ref="H21">SDK_Candidates($B$3:$J$11,7,7)</f>
        <v>2468</v>
      </c>
      <c r="I21" s="3" t="str" cm="1">
        <f t="array" ref="I21">SDK_Candidates($B$3:$J$11,7,8)</f>
        <v/>
      </c>
      <c r="J21" s="3" t="str" cm="1">
        <f t="array" ref="J21">SDK_Candidates($B$3:$J$11,7,9)</f>
        <v>4569</v>
      </c>
    </row>
    <row r="22" spans="1:10">
      <c r="A22" s="3"/>
      <c r="B22" s="3" t="str" cm="1">
        <f t="array" ref="B22">SDK_Candidates($B$3:$J$11,8,1)</f>
        <v>2589</v>
      </c>
      <c r="C22" s="3" t="str" cm="1">
        <f t="array" ref="C22">SDK_Candidates($B$3:$J$11,8,2)</f>
        <v/>
      </c>
      <c r="D22" s="3" t="str" cm="1">
        <f t="array" ref="D22">SDK_Candidates($B$3:$J$11,8,3)</f>
        <v>1268</v>
      </c>
      <c r="E22" s="3" t="str" cm="1">
        <f t="array" ref="E22">SDK_Candidates($B$3:$J$11,8,4)</f>
        <v>12589</v>
      </c>
      <c r="F22" s="3" t="str" cm="1">
        <f t="array" ref="F22">SDK_Candidates($B$3:$J$11,8,5)</f>
        <v>13569</v>
      </c>
      <c r="G22" s="3" t="str" cm="1">
        <f t="array" ref="G22">SDK_Candidates($B$3:$J$11,8,6)</f>
        <v>1235689</v>
      </c>
      <c r="H22" s="3" t="str" cm="1">
        <f t="array" ref="H22">SDK_Candidates($B$3:$J$11,8,7)</f>
        <v>268</v>
      </c>
      <c r="I22" s="3" t="str" cm="1">
        <f t="array" ref="I22">SDK_Candidates($B$3:$J$11,8,8)</f>
        <v>2568</v>
      </c>
      <c r="J22" s="3" t="str" cm="1">
        <f t="array" ref="J22">SDK_Candidates($B$3:$J$11,8,9)</f>
        <v/>
      </c>
    </row>
    <row r="23" spans="1:10">
      <c r="A23" s="3"/>
      <c r="B23" s="3" t="str" cm="1">
        <f t="array" ref="B23">SDK_Candidates($B$3:$J$11,9,1)</f>
        <v>2589</v>
      </c>
      <c r="C23" s="3" t="str" cm="1">
        <f t="array" ref="C23">SDK_Candidates($B$3:$J$11,9,2)</f>
        <v>25689</v>
      </c>
      <c r="D23" s="3" t="str" cm="1">
        <f t="array" ref="D23">SDK_Candidates($B$3:$J$11,9,3)</f>
        <v/>
      </c>
      <c r="E23" s="3" t="str" cm="1">
        <f t="array" ref="E23">SDK_Candidates($B$3:$J$11,9,4)</f>
        <v>124589</v>
      </c>
      <c r="F23" s="3" t="str" cm="1">
        <f t="array" ref="F23">SDK_Candidates($B$3:$J$11,9,5)</f>
        <v>14569</v>
      </c>
      <c r="G23" s="3" t="str" cm="1">
        <f t="array" ref="G23">SDK_Candidates($B$3:$J$11,9,6)</f>
        <v>125689</v>
      </c>
      <c r="H23" s="3" t="str" cm="1">
        <f t="array" ref="H23">SDK_Candidates($B$3:$J$11,9,7)</f>
        <v/>
      </c>
      <c r="I23" s="3" t="str" cm="1">
        <f t="array" ref="I23">SDK_Candidates($B$3:$J$11,9,8)</f>
        <v>24568</v>
      </c>
      <c r="J23" s="3" t="str" cm="1">
        <f t="array" ref="J23">SDK_Candidates($B$3:$J$11,9,9)</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Master'!$AS$11="Verify",COUNTIF($B$51:$J$59,TRUE)&gt;0,$B$99),"",SDK_PlayerHint($B$3:$J$11,$B$39:$J$47))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cm="1">
        <f t="array" ref="B89">INDEX(SDK_PlayerTrace($B$3:$J$11,$B$39:$J$47),1)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2026-09-07T17:39:35Z</dcterms:modified>
</cp:coreProperties>
</file>