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
    </mc:Choice>
  </mc:AlternateContent>
  <xr:revisionPtr revIDLastSave="0" documentId="13_ncr:1_{B9214672-A963-0F4E-B12F-662D471A5797}"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pairColStep,IF(OR(_xlpm.bad,_xlpm.basic&lt;&gt;"",_xlpm.rowText&lt;&gt;"",_xlpm.colText&lt;&gt;"",_xlpm.claimRowText&lt;&gt;"",_xlpm.claimColText&lt;&gt;"",_xlpm.pairRowText&lt;&gt;""),_xlpm.emptyStep,SDKP_NakedPairColStep(_xlpm.c)),_xlpm.pairColText,INDEX(_xlpm.pairColStep,1,5),_xlpm.pairBoxStep,IF(OR(_xlpm.bad,_xlpm.basic&lt;&gt;"",_xlpm.rowText&lt;&gt;"",_xlpm.colText&lt;&gt;"",_xlpm.claimRowText&lt;&gt;"",_xlpm.claimColText&lt;&gt;"",_xlpm.pairRowText&lt;&gt;"",_xlpm.pairColText&lt;&gt;""),_xlpm.emptyStep,SDKP_NakedPairBoxStep(_xlpm.c)),_xlpm.pairBoxText,INDEX(_xlpm.pairBoxStep,1,5),_xlpm.step,IF(_xlpm.rowText&lt;&gt;"",_xlpm.rowStep,IF(_xlpm.colText&lt;&gt;"",_xlpm.colStep,IF(_xlpm.claimRowText&lt;&gt;"",_xlpm.claimRowStep,IF(_xlpm.claimColText&lt;&gt;"",_xlpm.claimColStep,IF(_xlpm.pairRowText&lt;&gt;"",_xlpm.pairRowStep,IF(_xlpm.pairColText&lt;&gt;"",_xlpm.pairColStep,_xlpm.pairBoxStep)))))),_xlpm.stepText,IF(_xlpm.rowText&lt;&gt;"",_xlpm.rowText,IF(_xlpm.colText&lt;&gt;"",_xlpm.colText,IF(_xlpm.claimRowText&lt;&gt;"",_xlpm.claimRowText,IF(_xlpm.claimColText&lt;&gt;"",_xlpm.claimColText,IF(_xlpm.pairRowText&lt;&gt;"",_xlpm.pairRowText,IF(_xlpm.pairColText&lt;&gt;"",_xlpm.pairColText,_xlpm.pairBoxText)))))),_xlpm.adv,IF(OR(_xlpm.bad,_xlpm.basic&lt;&gt;""),"",_xlpm.stepText),_xlpm.state,IF(_xlpm.bad,"CONTRADICTION",IF(_xlpm.basic&lt;&gt;"","ASSIGNMENT",IF(_xlpm.adv="","STABLE",IF(_xlpm.steps&gt;=_xlpm.lim,"LIMIT","CONTINUE")))),IF(_xlpm.state="CONTINUE",_xlfn.LET(_xlpm.next,SDKP_ApplyStep(_xlpm.c,_xlpm.step),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_xlfn.LAMBDA(_xlpm.inputCandidates,INDEX(SDKP_NakedPairBoxStep(_xlpm.inputCandidates),1,5))</definedName>
    <definedName name="SDKP_NakedPairBoxStep">_xlfn.LAMBDA(_xlpm.inputCandidates,_xlfn.LET(_xlpm.candMatrix,_xlpm.inputCandidates,_xlpm.detect,_xlfn.LAMBDA(_xlpm.scanIndex,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_xlpm.sourceText,"R"&amp;_xlpm.firstRow&amp;"C"&amp;_xlpm.firstCol&amp;", R"&amp;_xlpm.secondRow&amp;"C"&amp;_xlpm.secondCol,_xlpm.displayText,"Naked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"&amp;_xlpm.targetText&amp;".",IF(_xlpm.targetText&lt;&gt;"",_xlfn.HSTACK("Naked pair in box",_xlpm.sourceText,_xlpm.pairText,_xlpm.targetText,_xlpm.displayText),_xlfn.HSTACK("","","","","")))),_xlpm.hits,_xlfn.MAP(_xlfn.SEQUENCE(81),_xlfn.LAMBDA(_xlpm.i,INDEX(_xlpm.detect(_xlpm.i),1,1)&lt;&gt;"")),_xlpm.p,IFERROR(_xlfn.XMATCH(TRUE,_xlpm.hits),0),IF(_xlpm.p=0,_xlfn.HSTACK("","","","",""),_xlpm.detect(_xlpm.p))))</definedName>
    <definedName name="SDKP_NakedPairCol">_xlfn.LAMBDA(_xlpm.inputCandidates,INDEX(SDKP_NakedPairColStep(_xlpm.inputCandidates),1,5))</definedName>
    <definedName name="SDKP_NakedPairColStep">_xlfn.LAMBDA(_xlpm.inputCandidates,_xlfn.LET(_xlpm.candMatrix,_xlpm.inputCandidates,_xlpm.detect,_xlfn.LAMBDA(_xlpm.scanIndex,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",TRUE,_xlpm.targetCells),_xlpm.sourceText,"R"&amp;_xlpm.firstPos&amp;"C"&amp;_xlpm.colNum&amp;", R"&amp;_xlpm.secondPos&amp;"C"&amp;_xlpm.colNum,_xlpm.displayText,"Naked pair in column · R"&amp;_xlpm.firstPos&amp;"C"&amp;_xlpm.colNum&amp;" and R"&amp;_xlpm.secondPos&amp;"C"&amp;_xlpm.colNum&amp;" contain only "&amp;LEFT(_xlpm.pairText,1)&amp;"/"&amp;RIGHT(_xlpm.pairText,1)&amp;" · Remove "&amp;LEFT(_xlpm.pairText,1)&amp;" and "&amp;RIGHT(_xlpm.pairText,1)&amp;" from "&amp;_xlpm.targetText&amp;".",IF(_xlpm.targetText&lt;&gt;"",_xlfn.HSTACK("Naked pair in column",_xlpm.sourceText,_xlpm.pairText,_xlpm.targetText,_xlpm.displayText),_xlfn.HSTACK("","","","","")))),_xlpm.hits,_xlfn.MAP(_xlfn.SEQUENCE(81),_xlfn.LAMBDA(_xlpm.i,INDEX(_xlpm.detect(_xlpm.i),1,1)&lt;&gt;"")),_xlpm.p,IFERROR(_xlfn.XMATCH(TRUE,_xlpm.hits),0),IF(_xlpm.p=0,_xlfn.HSTACK("","","","",""),_xlpm.detect(_xlp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L102" i="16" l="1" a="1"/>
  <c r="L102" i="16" s="1"/>
  <c r="B15" i="16" s="1" a="1"/>
  <c r="B15" i="16" s="1"/>
  <c r="C202" i="10"/>
  <c r="C201" i="10"/>
  <c r="C200" i="10"/>
  <c r="C199" i="10"/>
  <c r="C198" i="10"/>
  <c r="C197" i="10"/>
  <c r="C196" i="10"/>
  <c r="C195" i="10"/>
  <c r="C194" i="10"/>
  <c r="C193" i="10"/>
  <c r="C192" i="10"/>
  <c r="C191" i="10"/>
  <c r="C190" i="10"/>
  <c r="C189" i="10"/>
  <c r="C188" i="10"/>
  <c r="C187" i="10"/>
  <c r="C186" i="10"/>
  <c r="C168" i="10"/>
  <c r="D165" i="10" a="1"/>
  <c r="D165" i="10" s="1"/>
  <c r="E165" i="10" s="1"/>
  <c r="D166" i="10"/>
  <c r="E166" i="10" s="1"/>
  <c r="D167" i="10" a="1"/>
  <c r="D167" i="10" s="1"/>
  <c r="E167" i="10" s="1"/>
  <c r="D168" i="10" a="1"/>
  <c r="D168" i="10" s="1"/>
  <c r="E168" i="10" s="1"/>
  <c r="D169" i="10" a="1"/>
  <c r="D169" i="10" s="1"/>
  <c r="E169" i="10" s="1"/>
  <c r="D170" i="10" a="1"/>
  <c r="D170" i="10" s="1"/>
  <c r="E170" i="10" s="1"/>
  <c r="D171" i="10" a="1"/>
  <c r="D171" i="10" s="1"/>
  <c r="E171" i="10" s="1"/>
  <c r="D172" i="10" a="1"/>
  <c r="D172" i="10" s="1"/>
  <c r="E172" i="10" s="1"/>
  <c r="D173" i="10" a="1"/>
  <c r="D173" i="10" s="1"/>
  <c r="E173" i="10" s="1"/>
  <c r="D174" i="10" a="1"/>
  <c r="D174" i="10" s="1"/>
  <c r="E174" i="10" s="1"/>
  <c r="D175" i="10" a="1"/>
  <c r="D175" i="10" s="1"/>
  <c r="E175" i="10" s="1"/>
  <c r="D176" i="10" a="1"/>
  <c r="D176" i="10" s="1"/>
  <c r="E176" i="10" s="1"/>
  <c r="D177" i="10" a="1"/>
  <c r="D177" i="10" s="1"/>
  <c r="E177" i="10" s="1"/>
  <c r="D178" i="10" a="1"/>
  <c r="D178" i="10" s="1"/>
  <c r="E178" i="10" s="1"/>
  <c r="D179" i="10" a="1"/>
  <c r="D179" i="10" s="1"/>
  <c r="E179" i="10" s="1"/>
  <c r="D180" i="10" a="1"/>
  <c r="D180" i="10" s="1"/>
  <c r="E180" i="10" s="1"/>
  <c r="D181" i="10" a="1"/>
  <c r="D181" i="10" s="1"/>
  <c r="E181" i="10" s="1"/>
  <c r="D182" i="10" a="1"/>
  <c r="D182" i="10" s="1"/>
  <c r="E182" i="10" s="1"/>
  <c r="D183" i="10" a="1"/>
  <c r="D183" i="10" s="1"/>
  <c r="E183" i="10" s="1"/>
  <c r="D184" i="10" a="1"/>
  <c r="D184" i="10" s="1"/>
  <c r="E184" i="10" s="1"/>
  <c r="D185" i="10" a="1"/>
  <c r="D185" i="10" s="1"/>
  <c r="E185" i="10" s="1"/>
  <c r="D186" i="10" a="1"/>
  <c r="D186" i="10" s="1"/>
  <c r="E186" i="10" s="1"/>
  <c r="D187" i="10" a="1"/>
  <c r="D187" i="10" s="1"/>
  <c r="E187" i="10" s="1"/>
  <c r="D188" i="10" a="1"/>
  <c r="D188" i="10" s="1"/>
  <c r="E188" i="10" s="1"/>
  <c r="D189" i="10" a="1"/>
  <c r="D189" i="10" s="1"/>
  <c r="E189" i="10" s="1"/>
  <c r="D190" i="10" a="1"/>
  <c r="D190" i="10" s="1"/>
  <c r="E190" i="10" s="1"/>
  <c r="D191" i="10" a="1"/>
  <c r="D191" i="10" s="1"/>
  <c r="E191" i="10" s="1"/>
  <c r="D192" i="10" a="1"/>
  <c r="D192" i="10" s="1"/>
  <c r="E192" i="10" s="1"/>
  <c r="D193" i="10" a="1"/>
  <c r="D193" i="10" s="1"/>
  <c r="E193" i="10" s="1"/>
  <c r="D194" i="10" a="1"/>
  <c r="D194" i="10" s="1"/>
  <c r="E194" i="10" s="1"/>
  <c r="D195" i="10" a="1"/>
  <c r="D195" i="10" s="1"/>
  <c r="E195" i="10" s="1"/>
  <c r="D196" i="10" a="1"/>
  <c r="D196" i="10" s="1"/>
  <c r="E196" i="10" s="1"/>
  <c r="D197" i="10" a="1"/>
  <c r="D197" i="10" s="1"/>
  <c r="E197" i="10" s="1"/>
  <c r="D198" i="10"/>
  <c r="E198" i="10" s="1"/>
  <c r="D199" i="10" a="1"/>
  <c r="D199" i="10" s="1"/>
  <c r="E199" i="10" s="1"/>
  <c r="D200" i="10"/>
  <c r="E200" i="10" s="1"/>
  <c r="D201" i="10" a="1"/>
  <c r="D201" i="10" s="1"/>
  <c r="E201" i="10" s="1"/>
  <c r="D202" i="10" a="1"/>
  <c r="D202" i="10" s="1"/>
  <c r="E202"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N11" i="23" s="1" a="1"/>
  <c r="N11" i="23" s="1"/>
  <c r="K11" i="23"/>
  <c r="D5" i="15" s="1"/>
  <c r="J11" i="23" s="1" a="1"/>
  <c r="J11" i="23" s="1"/>
  <c r="AA8" i="23"/>
  <c r="H4" i="15" s="1"/>
  <c r="K8" i="23"/>
  <c r="D4" i="15" s="1"/>
  <c r="K9" i="23" s="1" a="1"/>
  <c r="K9" i="23" s="1"/>
  <c r="AE5" i="23"/>
  <c r="I3" i="15" s="1"/>
  <c r="G5" i="23"/>
  <c r="K29" i="22"/>
  <c r="D11" i="14" s="1"/>
  <c r="C29" i="22"/>
  <c r="W26" i="22"/>
  <c r="G10" i="14" s="1"/>
  <c r="V26" i="22" s="1" a="1"/>
  <c r="V26" i="22" s="1"/>
  <c r="S26" i="22"/>
  <c r="F10" i="14" s="1"/>
  <c r="S25" i="22" s="1" a="1"/>
  <c r="S25" i="22" s="1"/>
  <c r="K26" i="22"/>
  <c r="G26" i="22"/>
  <c r="W23" i="22"/>
  <c r="G9" i="14" s="1"/>
  <c r="O23" i="22"/>
  <c r="E9" i="14" s="1"/>
  <c r="G23" i="22"/>
  <c r="C9" i="14" s="1"/>
  <c r="C23" i="22"/>
  <c r="AI20" i="22"/>
  <c r="W20" i="22"/>
  <c r="O20" i="22"/>
  <c r="E8" i="14" s="1"/>
  <c r="AE17" i="22"/>
  <c r="I7" i="14" s="1"/>
  <c r="G17" i="22"/>
  <c r="C7" i="14" s="1"/>
  <c r="G16" i="22" s="1" a="1"/>
  <c r="G16" i="22" s="1"/>
  <c r="W14" i="22"/>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F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L102" i="15" s="1" a="1"/>
  <c r="L102" i="15" s="1"/>
  <c r="B15" i="15" s="1" a="1"/>
  <c r="B15" i="15" s="1"/>
  <c r="J11" i="14"/>
  <c r="I11" i="14"/>
  <c r="H11" i="14"/>
  <c r="G11" i="14"/>
  <c r="F11" i="14"/>
  <c r="E11" i="14"/>
  <c r="C11" i="14"/>
  <c r="B11" i="14"/>
  <c r="J10" i="14"/>
  <c r="I10" i="14"/>
  <c r="H10" i="14"/>
  <c r="E10" i="14"/>
  <c r="D10" i="14"/>
  <c r="C10" i="14"/>
  <c r="B10" i="14"/>
  <c r="J9" i="14"/>
  <c r="I9" i="14"/>
  <c r="H9" i="14"/>
  <c r="F9" i="14"/>
  <c r="D9" i="14"/>
  <c r="L102" i="14" s="1" a="1"/>
  <c r="L102" i="14" s="1"/>
  <c r="B15" i="14" s="1" a="1"/>
  <c r="B15" i="14" s="1"/>
  <c r="B9" i="14"/>
  <c r="J8" i="14"/>
  <c r="AI19" i="22" s="1" a="1"/>
  <c r="AI19" i="22" s="1"/>
  <c r="I8" i="14"/>
  <c r="H8" i="14"/>
  <c r="G8" i="14"/>
  <c r="F8" i="14"/>
  <c r="D8" i="14"/>
  <c r="C8" i="14"/>
  <c r="B8" i="14"/>
  <c r="J7" i="14"/>
  <c r="H7" i="14"/>
  <c r="G7" i="14"/>
  <c r="F7" i="14"/>
  <c r="E7" i="14"/>
  <c r="D7" i="14"/>
  <c r="B7" i="14"/>
  <c r="J6" i="14"/>
  <c r="I6" i="14"/>
  <c r="H6" i="14"/>
  <c r="G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I9" i="9"/>
  <c r="AD23" i="12" s="1" a="1"/>
  <c r="AD23" i="12" s="1"/>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L102" i="13" l="1" a="1"/>
  <c r="L102" i="13" s="1"/>
  <c r="B15" i="13" s="1" a="1"/>
  <c r="B15" i="13" s="1"/>
  <c r="F23" i="14" a="1"/>
  <c r="F23" i="14" s="1"/>
  <c r="G22" i="14" a="1"/>
  <c r="G22" i="14" s="1"/>
  <c r="H20" i="14" a="1"/>
  <c r="H20" i="14" s="1"/>
  <c r="I19" i="14" a="1"/>
  <c r="I19" i="14" s="1"/>
  <c r="E23" i="14" a="1"/>
  <c r="E23" i="14" s="1"/>
  <c r="F22" i="14" a="1"/>
  <c r="F22" i="14" s="1"/>
  <c r="G21" i="14" a="1"/>
  <c r="G21" i="14" s="1"/>
  <c r="G20" i="14" a="1"/>
  <c r="G20" i="14" s="1"/>
  <c r="H19" i="14" a="1"/>
  <c r="H19" i="14" s="1"/>
  <c r="I17" i="14" a="1"/>
  <c r="I17" i="14" s="1"/>
  <c r="B17" i="14" a="1"/>
  <c r="B17" i="14" s="1"/>
  <c r="F15" i="14" a="1"/>
  <c r="F15" i="14" s="1"/>
  <c r="J17" i="14" a="1"/>
  <c r="J17" i="14" s="1"/>
  <c r="I18" i="14" a="1"/>
  <c r="I18" i="14" s="1"/>
  <c r="E22" i="14" a="1"/>
  <c r="E22" i="14" s="1"/>
  <c r="F21" i="14" a="1"/>
  <c r="F21" i="14" s="1"/>
  <c r="G19" i="14" a="1"/>
  <c r="G19" i="14" s="1"/>
  <c r="H18" i="14" a="1"/>
  <c r="H18" i="14" s="1"/>
  <c r="J16" i="14" a="1"/>
  <c r="J16" i="14" s="1"/>
  <c r="C16" i="14" a="1"/>
  <c r="C16" i="14" s="1"/>
  <c r="E15" i="14" a="1"/>
  <c r="E15" i="14" s="1"/>
  <c r="D23" i="14" a="1"/>
  <c r="D23" i="14" s="1"/>
  <c r="D22" i="14" a="1"/>
  <c r="D22" i="14" s="1"/>
  <c r="E21" i="14" a="1"/>
  <c r="E21" i="14" s="1"/>
  <c r="F20" i="14" a="1"/>
  <c r="F20" i="14" s="1"/>
  <c r="F19" i="14" a="1"/>
  <c r="F19" i="14" s="1"/>
  <c r="G18" i="14" a="1"/>
  <c r="G18" i="14" s="1"/>
  <c r="H17" i="14" a="1"/>
  <c r="H17" i="14" s="1"/>
  <c r="I16" i="14" a="1"/>
  <c r="I16" i="14" s="1"/>
  <c r="D15" i="14" a="1"/>
  <c r="D15" i="14" s="1"/>
  <c r="C23" i="14" a="1"/>
  <c r="C23" i="14" s="1"/>
  <c r="D21" i="14" a="1"/>
  <c r="D21" i="14" s="1"/>
  <c r="E20" i="14" a="1"/>
  <c r="E20" i="14" s="1"/>
  <c r="F18" i="14" a="1"/>
  <c r="F18" i="14" s="1"/>
  <c r="G17" i="14" a="1"/>
  <c r="G17" i="14" s="1"/>
  <c r="B16" i="14" a="1"/>
  <c r="B16" i="14" s="1"/>
  <c r="C15" i="14" a="1"/>
  <c r="C15" i="14" s="1"/>
  <c r="J23" i="14" a="1"/>
  <c r="J23" i="14" s="1"/>
  <c r="B23" i="14" a="1"/>
  <c r="B23" i="14" s="1"/>
  <c r="C22" i="14" a="1"/>
  <c r="C22" i="14" s="1"/>
  <c r="C21" i="14" a="1"/>
  <c r="C21" i="14" s="1"/>
  <c r="D20" i="14" a="1"/>
  <c r="D20" i="14" s="1"/>
  <c r="E19" i="14" a="1"/>
  <c r="E19" i="14" s="1"/>
  <c r="E18" i="14" a="1"/>
  <c r="E18" i="14" s="1"/>
  <c r="F17" i="14" a="1"/>
  <c r="F17" i="14" s="1"/>
  <c r="H16" i="14" a="1"/>
  <c r="H16" i="14" s="1"/>
  <c r="J15" i="14" a="1"/>
  <c r="J15" i="14" s="1"/>
  <c r="J22" i="14" a="1"/>
  <c r="J22" i="14" s="1"/>
  <c r="B22" i="14" a="1"/>
  <c r="B22" i="14" s="1"/>
  <c r="C20" i="14" a="1"/>
  <c r="C20" i="14" s="1"/>
  <c r="D19" i="14" a="1"/>
  <c r="D19" i="14" s="1"/>
  <c r="E17" i="14" a="1"/>
  <c r="E17" i="14" s="1"/>
  <c r="I15" i="14" a="1"/>
  <c r="I15" i="14" s="1"/>
  <c r="C17" i="14" a="1"/>
  <c r="C17" i="14" s="1"/>
  <c r="I23" i="14" a="1"/>
  <c r="I23" i="14" s="1"/>
  <c r="I22" i="14" a="1"/>
  <c r="I22" i="14" s="1"/>
  <c r="J21" i="14" a="1"/>
  <c r="J21" i="14" s="1"/>
  <c r="B21" i="14" a="1"/>
  <c r="B21" i="14" s="1"/>
  <c r="B20" i="14" a="1"/>
  <c r="B20" i="14" s="1"/>
  <c r="C19" i="14" a="1"/>
  <c r="C19" i="14" s="1"/>
  <c r="D18" i="14" a="1"/>
  <c r="D18" i="14" s="1"/>
  <c r="G16" i="14" a="1"/>
  <c r="G16" i="14" s="1"/>
  <c r="H15" i="14" a="1"/>
  <c r="H15" i="14" s="1"/>
  <c r="D16" i="14" a="1"/>
  <c r="D16" i="14" s="1"/>
  <c r="H23" i="14" a="1"/>
  <c r="H23" i="14" s="1"/>
  <c r="I21" i="14" a="1"/>
  <c r="I21" i="14" s="1"/>
  <c r="AD23" i="22" s="1" a="1"/>
  <c r="AD23" i="22" s="1"/>
  <c r="J20" i="14" a="1"/>
  <c r="J20" i="14" s="1"/>
  <c r="B19" i="14" a="1"/>
  <c r="B19" i="14" s="1"/>
  <c r="C18" i="14" a="1"/>
  <c r="C18" i="14" s="1"/>
  <c r="D17" i="14" a="1"/>
  <c r="D17" i="14" s="1"/>
  <c r="F16" i="14" a="1"/>
  <c r="F16" i="14" s="1"/>
  <c r="G23" i="14" a="1"/>
  <c r="G23" i="14" s="1"/>
  <c r="H22" i="14" a="1"/>
  <c r="H22" i="14" s="1"/>
  <c r="H21" i="14" a="1"/>
  <c r="H21" i="14" s="1"/>
  <c r="I20" i="14" a="1"/>
  <c r="I20" i="14" s="1"/>
  <c r="J19" i="14" a="1"/>
  <c r="J19" i="14" s="1"/>
  <c r="J18" i="14" a="1"/>
  <c r="J18" i="14" s="1"/>
  <c r="B18" i="14" a="1"/>
  <c r="B18" i="14" s="1"/>
  <c r="E16" i="14" a="1"/>
  <c r="E16" i="14" s="1"/>
  <c r="G15" i="14" a="1"/>
  <c r="G15" i="14" s="1"/>
  <c r="E22" i="15" a="1"/>
  <c r="E22" i="15" s="1"/>
  <c r="C20" i="15" a="1"/>
  <c r="C20" i="15" s="1"/>
  <c r="H15" i="15" a="1"/>
  <c r="H15" i="15" s="1"/>
  <c r="E23" i="15" a="1"/>
  <c r="E23" i="15" s="1"/>
  <c r="D22" i="15" a="1"/>
  <c r="D22" i="15" s="1"/>
  <c r="C21" i="15" a="1"/>
  <c r="C21" i="15" s="1"/>
  <c r="B20" i="15" a="1"/>
  <c r="B20" i="15" s="1"/>
  <c r="J18" i="15" a="1"/>
  <c r="J18" i="15" s="1"/>
  <c r="I17" i="15" a="1"/>
  <c r="I17" i="15" s="1"/>
  <c r="H16" i="15" a="1"/>
  <c r="H16" i="15" s="1"/>
  <c r="G15" i="15" a="1"/>
  <c r="G15" i="15" s="1"/>
  <c r="F23" i="15" a="1"/>
  <c r="F23" i="15" s="1"/>
  <c r="I16" i="15" a="1"/>
  <c r="I16" i="15" s="1"/>
  <c r="D23" i="15" a="1"/>
  <c r="D23" i="15" s="1"/>
  <c r="C22" i="15" a="1"/>
  <c r="C22" i="15" s="1"/>
  <c r="B21" i="15" a="1"/>
  <c r="B21" i="15" s="1"/>
  <c r="J19" i="15" a="1"/>
  <c r="J19" i="15" s="1"/>
  <c r="I18" i="15" a="1"/>
  <c r="I18" i="15" s="1"/>
  <c r="H17" i="15" a="1"/>
  <c r="H17" i="15" s="1"/>
  <c r="G16" i="15" a="1"/>
  <c r="G16" i="15" s="1"/>
  <c r="F15" i="15" a="1"/>
  <c r="F15" i="15" s="1"/>
  <c r="J17" i="15" a="1"/>
  <c r="J17" i="15" s="1"/>
  <c r="C23" i="15" a="1"/>
  <c r="C23" i="15" s="1"/>
  <c r="B22" i="15" a="1"/>
  <c r="B22" i="15" s="1"/>
  <c r="J20" i="15" a="1"/>
  <c r="J20" i="15" s="1"/>
  <c r="I19" i="15" a="1"/>
  <c r="I19" i="15" s="1"/>
  <c r="H18" i="15" a="1"/>
  <c r="H18" i="15" s="1"/>
  <c r="G17" i="15" a="1"/>
  <c r="G17" i="15" s="1"/>
  <c r="F16" i="15" a="1"/>
  <c r="F16" i="15" s="1"/>
  <c r="E15" i="15" a="1"/>
  <c r="E15" i="15" s="1"/>
  <c r="D21" i="15" a="1"/>
  <c r="D21" i="15" s="1"/>
  <c r="B19" i="15" a="1"/>
  <c r="B19" i="15" s="1"/>
  <c r="B23" i="15" a="1"/>
  <c r="B23" i="15" s="1"/>
  <c r="J21" i="15" a="1"/>
  <c r="J21" i="15" s="1"/>
  <c r="I20" i="15" a="1"/>
  <c r="I20" i="15" s="1"/>
  <c r="H19" i="15" a="1"/>
  <c r="H19" i="15" s="1"/>
  <c r="G18" i="15" a="1"/>
  <c r="G18" i="15" s="1"/>
  <c r="F17" i="15" a="1"/>
  <c r="F17" i="15" s="1"/>
  <c r="E16" i="15" a="1"/>
  <c r="E16" i="15" s="1"/>
  <c r="D15" i="15" a="1"/>
  <c r="D15" i="15" s="1"/>
  <c r="J22" i="15" a="1"/>
  <c r="J22" i="15" s="1"/>
  <c r="I21" i="15" a="1"/>
  <c r="I21" i="15" s="1"/>
  <c r="H20" i="15" a="1"/>
  <c r="H20" i="15" s="1"/>
  <c r="G19" i="15" a="1"/>
  <c r="G19" i="15" s="1"/>
  <c r="F18" i="15" a="1"/>
  <c r="F18" i="15" s="1"/>
  <c r="E17" i="15" a="1"/>
  <c r="E17" i="15" s="1"/>
  <c r="D16" i="15" a="1"/>
  <c r="D16" i="15" s="1"/>
  <c r="C15" i="15" a="1"/>
  <c r="C15" i="15" s="1"/>
  <c r="J23" i="15" a="1"/>
  <c r="J23" i="15" s="1"/>
  <c r="I22" i="15" a="1"/>
  <c r="I22" i="15" s="1"/>
  <c r="H21" i="15" a="1"/>
  <c r="H21" i="15" s="1"/>
  <c r="G20" i="15" a="1"/>
  <c r="G20" i="15" s="1"/>
  <c r="F19" i="15" a="1"/>
  <c r="F19" i="15" s="1"/>
  <c r="E18" i="15" a="1"/>
  <c r="E18" i="15" s="1"/>
  <c r="D17" i="15" a="1"/>
  <c r="D17" i="15" s="1"/>
  <c r="C16" i="15" a="1"/>
  <c r="C16" i="15" s="1"/>
  <c r="I23" i="15" a="1"/>
  <c r="I23" i="15" s="1"/>
  <c r="H22" i="15" a="1"/>
  <c r="H22" i="15" s="1"/>
  <c r="G21" i="15" a="1"/>
  <c r="G21" i="15" s="1"/>
  <c r="F20" i="15" a="1"/>
  <c r="F20" i="15" s="1"/>
  <c r="E19" i="15" a="1"/>
  <c r="E19" i="15" s="1"/>
  <c r="D18" i="15" a="1"/>
  <c r="D18" i="15" s="1"/>
  <c r="C17" i="15" a="1"/>
  <c r="C17" i="15" s="1"/>
  <c r="B16" i="15" a="1"/>
  <c r="B16" i="15" s="1"/>
  <c r="H23" i="15" a="1"/>
  <c r="H23" i="15" s="1"/>
  <c r="G22" i="15" a="1"/>
  <c r="G22" i="15" s="1"/>
  <c r="F21" i="15" a="1"/>
  <c r="F21" i="15" s="1"/>
  <c r="E20" i="15" a="1"/>
  <c r="E20" i="15" s="1"/>
  <c r="D19" i="15" a="1"/>
  <c r="D19" i="15" s="1"/>
  <c r="C18" i="15" a="1"/>
  <c r="C18" i="15" s="1"/>
  <c r="B17" i="15" a="1"/>
  <c r="B17" i="15" s="1"/>
  <c r="J15" i="15" a="1"/>
  <c r="J15" i="15" s="1"/>
  <c r="G23" i="15" a="1"/>
  <c r="G23" i="15" s="1"/>
  <c r="F22" i="15" a="1"/>
  <c r="F22" i="15" s="1"/>
  <c r="E21" i="15" a="1"/>
  <c r="E21" i="15" s="1"/>
  <c r="D20" i="15" a="1"/>
  <c r="D20" i="15" s="1"/>
  <c r="C19" i="15" a="1"/>
  <c r="C19" i="15" s="1"/>
  <c r="B18" i="15" a="1"/>
  <c r="B18" i="15" s="1"/>
  <c r="J16" i="15" a="1"/>
  <c r="J16" i="15" s="1"/>
  <c r="I15" i="15" a="1"/>
  <c r="I15" i="15" s="1"/>
  <c r="H22" i="16" a="1"/>
  <c r="H22" i="16" s="1"/>
  <c r="I21" i="16" a="1"/>
  <c r="I21" i="16" s="1"/>
  <c r="D20" i="16" a="1"/>
  <c r="D20" i="16" s="1"/>
  <c r="F19" i="16" a="1"/>
  <c r="F19" i="16" s="1"/>
  <c r="H18" i="16" a="1"/>
  <c r="H18" i="16" s="1"/>
  <c r="C17" i="16" a="1"/>
  <c r="C17" i="16" s="1"/>
  <c r="D16" i="16" a="1"/>
  <c r="D16" i="16" s="1"/>
  <c r="E23" i="16" a="1"/>
  <c r="E23" i="16" s="1"/>
  <c r="G22" i="16" a="1"/>
  <c r="G22" i="16" s="1"/>
  <c r="B21" i="16" a="1"/>
  <c r="B21" i="16" s="1"/>
  <c r="C20" i="16" a="1"/>
  <c r="C20" i="16" s="1"/>
  <c r="G18" i="16" a="1"/>
  <c r="G18" i="16" s="1"/>
  <c r="I17" i="16" a="1"/>
  <c r="I17" i="16" s="1"/>
  <c r="B17" i="16" a="1"/>
  <c r="B17" i="16" s="1"/>
  <c r="F15" i="16" a="1"/>
  <c r="F15" i="16" s="1"/>
  <c r="F22" i="16" a="1"/>
  <c r="F22" i="16" s="1"/>
  <c r="H21" i="16" a="1"/>
  <c r="H21" i="16" s="1"/>
  <c r="J20" i="16" a="1"/>
  <c r="J20" i="16" s="1"/>
  <c r="E19" i="16" a="1"/>
  <c r="E19" i="16" s="1"/>
  <c r="F18" i="16" a="1"/>
  <c r="F18" i="16" s="1"/>
  <c r="J16" i="16" a="1"/>
  <c r="J16" i="16" s="1"/>
  <c r="C16" i="16" a="1"/>
  <c r="C16" i="16" s="1"/>
  <c r="E15" i="16" a="1"/>
  <c r="E15" i="16" s="1"/>
  <c r="D23" i="16" a="1"/>
  <c r="D23" i="16" s="1"/>
  <c r="E22" i="16" a="1"/>
  <c r="E22" i="16" s="1"/>
  <c r="I20" i="16" a="1"/>
  <c r="I20" i="16" s="1"/>
  <c r="B20" i="16" a="1"/>
  <c r="B20" i="16" s="1"/>
  <c r="D19" i="16" a="1"/>
  <c r="D19" i="16" s="1"/>
  <c r="H17" i="16" a="1"/>
  <c r="H17" i="16" s="1"/>
  <c r="I16" i="16" a="1"/>
  <c r="I16" i="16" s="1"/>
  <c r="D15" i="16" a="1"/>
  <c r="D15" i="16" s="1"/>
  <c r="J23" i="16" a="1"/>
  <c r="J23" i="16" s="1"/>
  <c r="C23" i="16" a="1"/>
  <c r="C23" i="16" s="1"/>
  <c r="G21" i="16" a="1"/>
  <c r="G21" i="16" s="1"/>
  <c r="H20" i="16" a="1"/>
  <c r="H20" i="16" s="1"/>
  <c r="C19" i="16" a="1"/>
  <c r="C19" i="16" s="1"/>
  <c r="E18" i="16" a="1"/>
  <c r="E18" i="16" s="1"/>
  <c r="G17" i="16" a="1"/>
  <c r="G17" i="16" s="1"/>
  <c r="B16" i="16" a="1"/>
  <c r="B16" i="16" s="1"/>
  <c r="C15" i="16" a="1"/>
  <c r="C15" i="16" s="1"/>
  <c r="B23" i="16" a="1"/>
  <c r="B23" i="16" s="1"/>
  <c r="D22" i="16" a="1"/>
  <c r="D22" i="16" s="1"/>
  <c r="F21" i="16" a="1"/>
  <c r="F21" i="16" s="1"/>
  <c r="J19" i="16" a="1"/>
  <c r="J19" i="16" s="1"/>
  <c r="B19" i="16" a="1"/>
  <c r="B19" i="16" s="1"/>
  <c r="F17" i="16" a="1"/>
  <c r="F17" i="16" s="1"/>
  <c r="H16" i="16" a="1"/>
  <c r="H16" i="16" s="1"/>
  <c r="J15" i="16" a="1"/>
  <c r="J15" i="16" s="1"/>
  <c r="I23" i="16" a="1"/>
  <c r="I23" i="16" s="1"/>
  <c r="J22" i="16" a="1"/>
  <c r="J22" i="16" s="1"/>
  <c r="E21" i="16" a="1"/>
  <c r="E21" i="16" s="1"/>
  <c r="G20" i="16" a="1"/>
  <c r="G20" i="16" s="1"/>
  <c r="I19" i="16" a="1"/>
  <c r="I19" i="16" s="1"/>
  <c r="D18" i="16" a="1"/>
  <c r="D18" i="16" s="1"/>
  <c r="E17" i="16" a="1"/>
  <c r="E17" i="16" s="1"/>
  <c r="I15" i="16" a="1"/>
  <c r="I15" i="16" s="1"/>
  <c r="H23" i="16" a="1"/>
  <c r="H23" i="16" s="1"/>
  <c r="C22" i="16" a="1"/>
  <c r="C22" i="16" s="1"/>
  <c r="D21" i="16" a="1"/>
  <c r="D21" i="16" s="1"/>
  <c r="H19" i="16" a="1"/>
  <c r="H19" i="16" s="1"/>
  <c r="J18" i="16" a="1"/>
  <c r="J18" i="16" s="1"/>
  <c r="C18" i="16" a="1"/>
  <c r="C18" i="16" s="1"/>
  <c r="G16" i="16" a="1"/>
  <c r="G16" i="16" s="1"/>
  <c r="H15" i="16" a="1"/>
  <c r="H15" i="16" s="1"/>
  <c r="G23" i="16" a="1"/>
  <c r="G23" i="16" s="1"/>
  <c r="I22" i="16" a="1"/>
  <c r="I22" i="16" s="1"/>
  <c r="B22" i="16" a="1"/>
  <c r="B22" i="16" s="1"/>
  <c r="F20" i="16" a="1"/>
  <c r="F20" i="16" s="1"/>
  <c r="G19" i="16" a="1"/>
  <c r="G19" i="16" s="1"/>
  <c r="B18" i="16" a="1"/>
  <c r="B18" i="16" s="1"/>
  <c r="D17" i="16" a="1"/>
  <c r="D17" i="16" s="1"/>
  <c r="F16" i="16" a="1"/>
  <c r="F16" i="16" s="1"/>
  <c r="F23" i="16" a="1"/>
  <c r="F23" i="16" s="1"/>
  <c r="J21" i="16" a="1"/>
  <c r="J21" i="16" s="1"/>
  <c r="C21" i="16" a="1"/>
  <c r="C21" i="16" s="1"/>
  <c r="E20" i="16" a="1"/>
  <c r="E20" i="16" s="1"/>
  <c r="I18" i="16" a="1"/>
  <c r="I18" i="16" s="1"/>
  <c r="J17" i="16" a="1"/>
  <c r="J17" i="16" s="1"/>
  <c r="E16" i="16" a="1"/>
  <c r="E16" i="16" s="1"/>
  <c r="G15" i="16" a="1"/>
  <c r="G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9" a="1"/>
  <c r="B90" i="9" s="1"/>
  <c r="B89" i="9" a="1"/>
  <c r="B89" i="9"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AJ26" i="21" a="1"/>
  <c r="AJ26" i="21" s="1"/>
  <c r="AI25" i="21" a="1"/>
  <c r="AI25" i="21" s="1"/>
  <c r="O9" i="22" a="1"/>
  <c r="O9" i="22" s="1"/>
  <c r="N8" i="22" a="1"/>
  <c r="N8" i="22" s="1"/>
  <c r="R6" i="21" a="1"/>
  <c r="R6" i="21" s="1"/>
  <c r="S6" i="21" a="1"/>
  <c r="S6" i="21" s="1"/>
  <c r="S4" i="21" a="1"/>
  <c r="S4" i="21" s="1"/>
  <c r="T6" i="21" a="1"/>
  <c r="T6" i="21" s="1"/>
  <c r="T4" i="21" a="1"/>
  <c r="T4" i="21" s="1"/>
  <c r="R5" i="21" a="1"/>
  <c r="R5" i="21" s="1"/>
  <c r="T5" i="21" a="1"/>
  <c r="T5" i="21"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F18" i="23"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K28" i="21" a="1"/>
  <c r="K28" i="21" s="1"/>
  <c r="AE15" i="2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H57" i="15" a="1"/>
  <c r="H57" i="15" s="1"/>
  <c r="C52" i="16" a="1"/>
  <c r="C52" i="16" s="1"/>
  <c r="H55" i="13" a="1"/>
  <c r="H55" i="13" s="1"/>
  <c r="H51" i="13" a="1"/>
  <c r="H51" i="13" s="1"/>
  <c r="B54" i="14" a="1"/>
  <c r="B54" i="14" s="1"/>
  <c r="B64" i="14" a="1"/>
  <c r="B64" i="14" s="1"/>
  <c r="H52" i="14" a="1"/>
  <c r="H52" i="14" s="1"/>
  <c r="F52" i="14" a="1"/>
  <c r="F52" i="14" s="1"/>
  <c r="H52" i="15" a="1"/>
  <c r="H52" i="15" s="1"/>
  <c r="G53" i="15" a="1"/>
  <c r="G53" i="15" s="1"/>
  <c r="E54" i="16" a="1"/>
  <c r="E54" i="16" s="1"/>
  <c r="G56" i="15" a="1"/>
  <c r="G56" i="15" s="1"/>
  <c r="E56" i="15" a="1"/>
  <c r="E56" i="15" s="1"/>
  <c r="B64" i="15" a="1"/>
  <c r="B64" i="15" s="1"/>
  <c r="C55" i="15" a="1"/>
  <c r="C55" i="15" s="1"/>
  <c r="I51" i="15" a="1"/>
  <c r="I51" i="15" s="1"/>
  <c r="J53" i="14" a="1"/>
  <c r="J53" i="14" s="1"/>
  <c r="I53" i="14" a="1"/>
  <c r="I53" i="14" s="1"/>
  <c r="B54" i="15" a="1"/>
  <c r="B54" i="15" s="1"/>
  <c r="F55" i="15" a="1"/>
  <c r="F55" i="15" s="1"/>
  <c r="E54" i="15" a="1"/>
  <c r="E54" i="15" s="1"/>
  <c r="I52" i="13" a="1"/>
  <c r="I52" i="13" s="1"/>
  <c r="C54" i="13" a="1"/>
  <c r="C54" i="13" s="1"/>
  <c r="G56" i="14" a="1"/>
  <c r="G56" i="14" s="1"/>
  <c r="J51" i="14" a="1"/>
  <c r="J51" i="14" s="1"/>
  <c r="D53" i="15" a="1"/>
  <c r="D53" i="15" s="1"/>
  <c r="X7" i="24" a="1"/>
  <c r="X7" i="24" s="1"/>
  <c r="D54" i="16" a="1"/>
  <c r="D54" i="16" s="1"/>
  <c r="E57" i="15" a="1"/>
  <c r="E57" i="15"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X28" i="24" a="1"/>
  <c r="X28" i="24"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54" i="15" a="1"/>
  <c r="G54" i="15" s="1"/>
  <c r="D52" i="15" a="1"/>
  <c r="D52" i="15" s="1"/>
  <c r="E59" i="15" a="1"/>
  <c r="E59" i="15" s="1"/>
  <c r="F59" i="15" a="1"/>
  <c r="F59" i="15" s="1"/>
  <c r="E58" i="15" a="1"/>
  <c r="E58" i="15" s="1"/>
  <c r="D57" i="15" a="1"/>
  <c r="D57" i="15" s="1"/>
  <c r="C56" i="15" a="1"/>
  <c r="C56" i="15" s="1"/>
  <c r="J53" i="15" a="1"/>
  <c r="J53" i="15" s="1"/>
  <c r="I52" i="15" a="1"/>
  <c r="I52" i="15" s="1"/>
  <c r="H51" i="15" a="1"/>
  <c r="H51" i="15" s="1"/>
  <c r="D58" i="15" a="1"/>
  <c r="D58" i="15" s="1"/>
  <c r="C57" i="15" a="1"/>
  <c r="C57" i="15" s="1"/>
  <c r="B56" i="15" a="1"/>
  <c r="B56" i="15" s="1"/>
  <c r="J54" i="15" a="1"/>
  <c r="J54" i="15" s="1"/>
  <c r="I53" i="15" a="1"/>
  <c r="I53" i="15" s="1"/>
  <c r="C59" i="15" a="1"/>
  <c r="C59" i="15" s="1"/>
  <c r="B58" i="15" a="1"/>
  <c r="B58" i="15" s="1"/>
  <c r="J56" i="15" a="1"/>
  <c r="J56" i="15" s="1"/>
  <c r="I55" i="15" a="1"/>
  <c r="I55" i="15" s="1"/>
  <c r="H54" i="15" a="1"/>
  <c r="H54" i="15" s="1"/>
  <c r="S27" i="23" a="1"/>
  <c r="S27" i="23" s="1"/>
  <c r="G59" i="15" a="1"/>
  <c r="G59" i="15" s="1"/>
  <c r="E53" i="15" a="1"/>
  <c r="E53" i="15" s="1"/>
  <c r="E59" i="14" a="1"/>
  <c r="E59" i="14" s="1"/>
  <c r="H57" i="14" a="1"/>
  <c r="H57" i="14" s="1"/>
  <c r="E53" i="14" a="1"/>
  <c r="E53" i="14" s="1"/>
  <c r="E52" i="14" a="1"/>
  <c r="E52" i="14" s="1"/>
  <c r="J59" i="14" a="1"/>
  <c r="J59" i="14" s="1"/>
  <c r="G53" i="14" a="1"/>
  <c r="G53" i="14" s="1"/>
  <c r="B59" i="14" a="1"/>
  <c r="B59" i="14" s="1"/>
  <c r="I52" i="14" a="1"/>
  <c r="I52" i="14" s="1"/>
  <c r="E54" i="14" a="1"/>
  <c r="E54" i="14" s="1"/>
  <c r="B56" i="14" a="1"/>
  <c r="B56" i="14" s="1"/>
  <c r="D58" i="14" a="1"/>
  <c r="D58" i="14" s="1"/>
  <c r="E57" i="14" a="1"/>
  <c r="E57" i="14" s="1"/>
  <c r="AJ27" i="22" a="1"/>
  <c r="AJ27" i="22" s="1"/>
  <c r="F58" i="14" a="1"/>
  <c r="F58" i="14" s="1"/>
  <c r="C57" i="14" a="1"/>
  <c r="C57" i="14" s="1"/>
  <c r="J54" i="14" a="1"/>
  <c r="J54" i="14" s="1"/>
  <c r="G58" i="14" a="1"/>
  <c r="G58" i="14" s="1"/>
  <c r="D53" i="14" a="1"/>
  <c r="D53" i="14" s="1"/>
  <c r="J56" i="14" a="1"/>
  <c r="J56" i="14" s="1"/>
  <c r="F59" i="14" a="1"/>
  <c r="F59" i="14" s="1"/>
  <c r="F59" i="13" a="1"/>
  <c r="F59" i="13" s="1"/>
  <c r="F58" i="13" a="1"/>
  <c r="F58" i="13" s="1"/>
  <c r="E51" i="13" a="1"/>
  <c r="E51" i="13" s="1"/>
  <c r="B54" i="13" a="1"/>
  <c r="B54" i="13" s="1"/>
  <c r="J56" i="13" a="1"/>
  <c r="J56" i="13" s="1"/>
  <c r="G59" i="13" a="1"/>
  <c r="G59" i="13" s="1"/>
  <c r="B53" i="13" a="1"/>
  <c r="B53" i="13" s="1"/>
  <c r="D57" i="13" a="1"/>
  <c r="D57" i="13" s="1"/>
  <c r="E57" i="13" a="1"/>
  <c r="E57" i="13" s="1"/>
  <c r="J51" i="13" a="1"/>
  <c r="J51" i="13" s="1"/>
  <c r="C56" i="13" a="1"/>
  <c r="C56" i="13" s="1"/>
  <c r="B59" i="13" a="1"/>
  <c r="B59" i="13" s="1"/>
  <c r="G55" i="13" a="1"/>
  <c r="G55" i="13" s="1"/>
  <c r="J57" i="13" a="1"/>
  <c r="J57" i="13" s="1"/>
  <c r="G53" i="13" a="1"/>
  <c r="G53" i="13" s="1"/>
  <c r="F52" i="13" a="1"/>
  <c r="F52" i="13" s="1"/>
  <c r="D55" i="13" a="1"/>
  <c r="D55" i="13" s="1"/>
  <c r="I56" i="13" a="1"/>
  <c r="I56" i="13" s="1"/>
  <c r="J27" i="24" a="1"/>
  <c r="J27" i="24" s="1"/>
  <c r="AI30" i="24" a="1"/>
  <c r="AI30" i="24"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AB5" i="24" a="1"/>
  <c r="AB5" i="24" s="1"/>
  <c r="P27" i="24" a="1"/>
  <c r="P27" i="24" s="1"/>
  <c r="R29" i="24" a="1"/>
  <c r="R29" i="24" s="1"/>
  <c r="B51" i="16" a="1"/>
  <c r="B51" i="16" s="1"/>
  <c r="I53" i="16" a="1"/>
  <c r="I53" i="16" s="1"/>
  <c r="J54" i="16" a="1"/>
  <c r="J54" i="16" s="1"/>
  <c r="B56" i="16" a="1"/>
  <c r="B56" i="16" s="1"/>
  <c r="C57" i="16" a="1"/>
  <c r="C57" i="16" s="1"/>
  <c r="B66" i="16" a="1"/>
  <c r="B66" i="16" s="1"/>
  <c r="AF6" i="24" a="1"/>
  <c r="AF6" i="24" s="1"/>
  <c r="P7" i="24" a="1"/>
  <c r="P7" i="24" s="1"/>
  <c r="B62" i="16" a="1"/>
  <c r="B62" i="16" s="1"/>
  <c r="B27" i="24" a="1"/>
  <c r="B27" i="24" s="1"/>
  <c r="W25" i="24" a="1"/>
  <c r="W25" i="24" s="1"/>
  <c r="G30" i="24" a="1"/>
  <c r="G30" i="24" s="1"/>
  <c r="B63" i="16" a="1"/>
  <c r="B63" i="16" s="1"/>
  <c r="AH29" i="23"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B51" i="15" a="1"/>
  <c r="B51" i="15" s="1"/>
  <c r="G51" i="15" a="1"/>
  <c r="G51" i="15" s="1"/>
  <c r="C52" i="15" a="1"/>
  <c r="C52" i="15" s="1"/>
  <c r="B66" i="15" a="1"/>
  <c r="B66" i="15" s="1"/>
  <c r="C51" i="15" a="1"/>
  <c r="C51" i="15" s="1"/>
  <c r="F54" i="15" a="1"/>
  <c r="F54" i="15" s="1"/>
  <c r="B55" i="15" a="1"/>
  <c r="B55" i="15" s="1"/>
  <c r="I57" i="15" a="1"/>
  <c r="I57" i="15" s="1"/>
  <c r="J58" i="15" a="1"/>
  <c r="J58" i="15" s="1"/>
  <c r="B62" i="15" a="1"/>
  <c r="B62" i="15" s="1"/>
  <c r="B63" i="15" a="1"/>
  <c r="B63" i="15"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B51" i="14" a="1"/>
  <c r="B51" i="14" s="1"/>
  <c r="G51" i="14" a="1"/>
  <c r="G51" i="14" s="1"/>
  <c r="C52" i="14" a="1"/>
  <c r="C52" i="14" s="1"/>
  <c r="B66" i="14" a="1"/>
  <c r="B66" i="14" s="1"/>
  <c r="C51" i="14" a="1"/>
  <c r="C51" i="14" s="1"/>
  <c r="F54" i="14" a="1"/>
  <c r="F54" i="14" s="1"/>
  <c r="B55" i="14" a="1"/>
  <c r="B55" i="14" s="1"/>
  <c r="I57" i="14" a="1"/>
  <c r="I57" i="14" s="1"/>
  <c r="J58" i="14" a="1"/>
  <c r="J58" i="14" s="1"/>
  <c r="B62" i="14" a="1"/>
  <c r="B62" i="14" s="1"/>
  <c r="B63" i="14" a="1"/>
  <c r="B63" i="14" s="1"/>
  <c r="B64" i="13" a="1"/>
  <c r="B64" i="13" s="1"/>
  <c r="B63" i="13" a="1"/>
  <c r="B63" i="13" s="1"/>
  <c r="B62" i="13" a="1"/>
  <c r="B62" i="13" s="1"/>
  <c r="C51" i="13" a="1"/>
  <c r="C51" i="13" s="1"/>
  <c r="B66" i="13" a="1"/>
  <c r="B66" i="13" s="1"/>
  <c r="B51" i="13" a="1"/>
  <c r="B51" i="13" s="1"/>
  <c r="B65" i="13" a="1"/>
  <c r="B65" i="13" s="1"/>
  <c r="C52" i="13" a="1"/>
  <c r="C52" i="13" s="1"/>
  <c r="D53" i="13" a="1"/>
  <c r="D53" i="13" s="1"/>
  <c r="E54" i="13" a="1"/>
  <c r="E54" i="13" s="1"/>
  <c r="F55" i="13" a="1"/>
  <c r="F55" i="13" s="1"/>
  <c r="G56" i="13" a="1"/>
  <c r="G56" i="13" s="1"/>
  <c r="H57" i="13" a="1"/>
  <c r="H57" i="13" s="1"/>
  <c r="I58" i="13" a="1"/>
  <c r="I58" i="13" s="1"/>
  <c r="J59" i="13" a="1"/>
  <c r="J59"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G51" i="13" a="1"/>
  <c r="G51" i="13" s="1"/>
  <c r="F54" i="13" a="1"/>
  <c r="F54" i="13" s="1"/>
  <c r="B55" i="13" a="1"/>
  <c r="B55" i="13" s="1"/>
  <c r="I57" i="13" a="1"/>
  <c r="I57" i="13" s="1"/>
  <c r="J58" i="13" a="1"/>
  <c r="J58" i="13" s="1"/>
  <c r="J53" i="9" a="1"/>
  <c r="J53" i="9" s="1"/>
  <c r="D54" i="9" a="1"/>
  <c r="D54" i="9" s="1"/>
  <c r="D56" i="9" a="1"/>
  <c r="D56" i="9" s="1"/>
  <c r="B18" i="9" a="1"/>
  <c r="B18" i="9" s="1"/>
  <c r="B15" i="9" a="1"/>
  <c r="B15" i="9" s="1"/>
  <c r="J55" i="9" a="1"/>
  <c r="J55" i="9" s="1"/>
  <c r="J56" i="9" a="1"/>
  <c r="J56" i="9" s="1"/>
  <c r="B19" i="9" a="1"/>
  <c r="B19" i="9" s="1"/>
  <c r="J54" i="9" a="1"/>
  <c r="J54" i="9" s="1"/>
  <c r="F59" i="9" a="1"/>
  <c r="F59" i="9" s="1"/>
  <c r="J21" i="13" l="1" a="1"/>
  <c r="J21" i="13" s="1"/>
  <c r="B21" i="13" a="1"/>
  <c r="B21" i="13" s="1"/>
  <c r="E19" i="13" a="1"/>
  <c r="E19" i="13" s="1"/>
  <c r="J16" i="13" a="1"/>
  <c r="J16" i="13" s="1"/>
  <c r="D19" i="13" a="1"/>
  <c r="D19" i="13" s="1"/>
  <c r="D18" i="13" a="1"/>
  <c r="D18" i="13" s="1"/>
  <c r="I15" i="13" a="1"/>
  <c r="I15" i="13" s="1"/>
  <c r="AE4" i="21" s="1" a="1"/>
  <c r="AE4" i="21" s="1"/>
  <c r="G23" i="13" a="1"/>
  <c r="G23" i="13" s="1"/>
  <c r="E20" i="13" a="1"/>
  <c r="E20" i="13" s="1"/>
  <c r="D20" i="13" a="1"/>
  <c r="D20" i="13" s="1"/>
  <c r="G18" i="13" a="1"/>
  <c r="G18" i="13" s="1"/>
  <c r="E15" i="13" a="1"/>
  <c r="E15" i="13" s="1"/>
  <c r="E18" i="13" a="1"/>
  <c r="E18" i="13" s="1"/>
  <c r="F17" i="13" a="1"/>
  <c r="F17" i="13" s="1"/>
  <c r="H23" i="13" a="1"/>
  <c r="H23" i="13" s="1"/>
  <c r="AB28" i="21" s="1" a="1"/>
  <c r="AB28" i="21" s="1"/>
  <c r="B22" i="13" a="1"/>
  <c r="B22" i="13" s="1"/>
  <c r="D27" i="21" s="1" a="1"/>
  <c r="D27" i="21" s="1"/>
  <c r="F19" i="13" a="1"/>
  <c r="F19" i="13" s="1"/>
  <c r="H18" i="13" a="1"/>
  <c r="H18" i="13" s="1"/>
  <c r="B17" i="13" a="1"/>
  <c r="B17" i="13" s="1"/>
  <c r="C23" i="13" a="1"/>
  <c r="C23" i="13" s="1"/>
  <c r="F29" i="21" s="1" a="1"/>
  <c r="F29" i="21" s="1"/>
  <c r="I16" i="13" a="1"/>
  <c r="I16" i="13" s="1"/>
  <c r="J15" i="13" a="1"/>
  <c r="J15" i="13" s="1"/>
  <c r="I22" i="13" a="1"/>
  <c r="I22" i="13" s="1"/>
  <c r="C21" i="13" a="1"/>
  <c r="C21" i="13" s="1"/>
  <c r="J17" i="13" a="1"/>
  <c r="J17" i="13" s="1"/>
  <c r="I17" i="13" a="1"/>
  <c r="I17" i="13" s="1"/>
  <c r="AE12" i="21" s="1" a="1"/>
  <c r="AE12" i="21" s="1"/>
  <c r="C16" i="13" a="1"/>
  <c r="C16" i="13" s="1"/>
  <c r="D22" i="13" a="1"/>
  <c r="D22" i="13" s="1"/>
  <c r="B16" i="13" a="1"/>
  <c r="B16" i="13" s="1"/>
  <c r="J22" i="13" a="1"/>
  <c r="J22" i="13" s="1"/>
  <c r="D21" i="13" a="1"/>
  <c r="D21" i="13" s="1"/>
  <c r="G19" i="13" a="1"/>
  <c r="G19" i="13" s="1"/>
  <c r="C17" i="13" a="1"/>
  <c r="C17" i="13" s="1"/>
  <c r="D16" i="13" a="1"/>
  <c r="D16" i="13" s="1"/>
  <c r="D23" i="13" a="1"/>
  <c r="D23" i="13" s="1"/>
  <c r="J19" i="13" a="1"/>
  <c r="J19" i="13" s="1"/>
  <c r="AJ17" i="21" s="1" a="1"/>
  <c r="AJ17" i="21" s="1"/>
  <c r="D15" i="13" a="1"/>
  <c r="D15" i="13" s="1"/>
  <c r="C22" i="13" a="1"/>
  <c r="C22" i="13" s="1"/>
  <c r="F20" i="13" a="1"/>
  <c r="F20" i="13" s="1"/>
  <c r="I18" i="13" a="1"/>
  <c r="I18" i="13" s="1"/>
  <c r="E16" i="13" a="1"/>
  <c r="E16" i="13" s="1"/>
  <c r="F15" i="13" a="1"/>
  <c r="F15" i="13" s="1"/>
  <c r="F22" i="13" a="1"/>
  <c r="F22" i="13" s="1"/>
  <c r="C19" i="13" a="1"/>
  <c r="C19" i="13" s="1"/>
  <c r="C15" i="13" a="1"/>
  <c r="C15" i="13" s="1"/>
  <c r="E21" i="13" a="1"/>
  <c r="E21" i="13" s="1"/>
  <c r="H19" i="13" a="1"/>
  <c r="H19" i="13" s="1"/>
  <c r="B18" i="13" a="1"/>
  <c r="B18" i="13" s="1"/>
  <c r="H22" i="13" a="1"/>
  <c r="H22" i="13" s="1"/>
  <c r="I21" i="13" a="1"/>
  <c r="I21" i="13" s="1"/>
  <c r="C20" i="13" a="1"/>
  <c r="C20" i="13" s="1"/>
  <c r="H17" i="13" a="1"/>
  <c r="H17" i="13" s="1"/>
  <c r="I20" i="13" a="1"/>
  <c r="I20" i="13" s="1"/>
  <c r="B19" i="13" a="1"/>
  <c r="B19" i="13" s="1"/>
  <c r="G16" i="13" a="1"/>
  <c r="G16" i="13" s="1"/>
  <c r="B23" i="13" a="1"/>
  <c r="B23" i="13" s="1"/>
  <c r="G17" i="13" a="1"/>
  <c r="G17" i="13" s="1"/>
  <c r="H16" i="13" a="1"/>
  <c r="H16" i="13" s="1"/>
  <c r="J20" i="13" a="1"/>
  <c r="J20" i="13" s="1"/>
  <c r="J23" i="13" a="1"/>
  <c r="J23" i="13" s="1"/>
  <c r="AJ30" i="21" s="1" a="1"/>
  <c r="AJ30" i="21" s="1"/>
  <c r="H20" i="13" a="1"/>
  <c r="H20" i="13" s="1"/>
  <c r="I19" i="13" a="1"/>
  <c r="I19" i="13" s="1"/>
  <c r="C18" i="13" a="1"/>
  <c r="C18" i="13" s="1"/>
  <c r="F16" i="13" a="1"/>
  <c r="F16" i="13" s="1"/>
  <c r="F21" i="13" a="1"/>
  <c r="F21" i="13" s="1"/>
  <c r="G22" i="13" a="1"/>
  <c r="G22" i="13" s="1"/>
  <c r="X25" i="21" s="1" a="1"/>
  <c r="X25" i="21" s="1"/>
  <c r="B20" i="13" a="1"/>
  <c r="B20" i="13" s="1"/>
  <c r="B21" i="21" s="1" a="1"/>
  <c r="B21" i="21" s="1"/>
  <c r="E22" i="13" a="1"/>
  <c r="E22" i="13" s="1"/>
  <c r="O27" i="21" s="1" a="1"/>
  <c r="O27" i="21" s="1"/>
  <c r="I23" i="13" a="1"/>
  <c r="I23" i="13" s="1"/>
  <c r="J18" i="13" a="1"/>
  <c r="J18" i="13" s="1"/>
  <c r="D17" i="13" a="1"/>
  <c r="D17" i="13" s="1"/>
  <c r="G15" i="13" a="1"/>
  <c r="G15" i="13" s="1"/>
  <c r="F23" i="13" a="1"/>
  <c r="F23" i="13" s="1"/>
  <c r="E23" i="13" a="1"/>
  <c r="E23" i="13" s="1"/>
  <c r="H21" i="13" a="1"/>
  <c r="H21" i="13" s="1"/>
  <c r="Z24" i="21" s="1" a="1"/>
  <c r="Z24" i="21" s="1"/>
  <c r="F18" i="13" a="1"/>
  <c r="F18" i="13" s="1"/>
  <c r="T13" i="21" s="1" a="1"/>
  <c r="T13" i="21" s="1"/>
  <c r="G21" i="13" a="1"/>
  <c r="G21" i="13" s="1"/>
  <c r="G20" i="13" a="1"/>
  <c r="G20" i="13" s="1"/>
  <c r="E17" i="13" a="1"/>
  <c r="E17" i="13" s="1"/>
  <c r="H15" i="13" a="1"/>
  <c r="H15" i="13" s="1"/>
  <c r="B88" i="13" a="1"/>
  <c r="B88" i="13" s="1"/>
  <c r="Z16" i="21" s="1" a="1"/>
  <c r="Z16" i="21" s="1"/>
  <c r="B88" i="14" a="1"/>
  <c r="B88" i="14" s="1"/>
  <c r="F7" i="22" s="1" a="1"/>
  <c r="F7" i="22" s="1"/>
  <c r="B88" i="15" a="1"/>
  <c r="B88" i="15" s="1"/>
  <c r="J7" i="23" s="1" a="1"/>
  <c r="J7" i="23" s="1"/>
  <c r="B88" i="16" a="1"/>
  <c r="B88" i="16" s="1"/>
  <c r="N28" i="24" s="1" a="1"/>
  <c r="N28" i="24"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AH29" i="24" a="1"/>
  <c r="AH29" i="24" s="1"/>
  <c r="AH30" i="24" a="1"/>
  <c r="AH30" i="24" s="1"/>
  <c r="AJ30" i="24" a="1"/>
  <c r="AJ30" i="24" s="1"/>
  <c r="AI28" i="24" a="1"/>
  <c r="AI28" i="24" s="1"/>
  <c r="AJ28" i="24" a="1"/>
  <c r="AJ28" i="24" s="1"/>
  <c r="AJ29" i="24" a="1"/>
  <c r="AJ29" i="24" s="1"/>
  <c r="AD29" i="24" a="1"/>
  <c r="AD29" i="24" s="1"/>
  <c r="AF29" i="24" a="1"/>
  <c r="AF29" i="24" s="1"/>
  <c r="AF28" i="24" a="1"/>
  <c r="AF28" i="24" s="1"/>
  <c r="AD30" i="24" a="1"/>
  <c r="AD30" i="24" s="1"/>
  <c r="AE30" i="24" a="1"/>
  <c r="AE30" i="24" s="1"/>
  <c r="AF30" i="24" a="1"/>
  <c r="AF30" i="24" s="1"/>
  <c r="AE28" i="24" a="1"/>
  <c r="AE28" i="24" s="1"/>
  <c r="T29" i="24" a="1"/>
  <c r="T29" i="24" s="1"/>
  <c r="S28" i="24" a="1"/>
  <c r="S28" i="24" s="1"/>
  <c r="T28" i="24" a="1"/>
  <c r="T28" i="24" s="1"/>
  <c r="S30" i="24" a="1"/>
  <c r="S30" i="24" s="1"/>
  <c r="R30" i="24" a="1"/>
  <c r="R30" i="24" s="1"/>
  <c r="T30" i="24" a="1"/>
  <c r="T30" i="24" s="1"/>
  <c r="V26" i="24" a="1"/>
  <c r="V26" i="24" s="1"/>
  <c r="V27" i="24" a="1"/>
  <c r="V27" i="24" s="1"/>
  <c r="X26" i="24" a="1"/>
  <c r="X26" i="24" s="1"/>
  <c r="X25" i="24" a="1"/>
  <c r="X25" i="24" s="1"/>
  <c r="W27" i="24" a="1"/>
  <c r="W27" i="24" s="1"/>
  <c r="X27" i="24" a="1"/>
  <c r="X27" i="24" s="1"/>
  <c r="T26" i="24" a="1"/>
  <c r="T26" i="24" s="1"/>
  <c r="S27" i="24" a="1"/>
  <c r="S27" i="24" s="1"/>
  <c r="S25" i="24" a="1"/>
  <c r="S25" i="24" s="1"/>
  <c r="T25" i="24" a="1"/>
  <c r="T25" i="24" s="1"/>
  <c r="R27" i="24" a="1"/>
  <c r="R27" i="24" s="1"/>
  <c r="T27" i="24" a="1"/>
  <c r="T27" i="24" s="1"/>
  <c r="R26" i="24" a="1"/>
  <c r="R26" i="24" s="1"/>
  <c r="O25" i="24" a="1"/>
  <c r="O25" i="24" s="1"/>
  <c r="P25" i="24" a="1"/>
  <c r="P25" i="24" s="1"/>
  <c r="P26" i="24" a="1"/>
  <c r="P26" i="24" s="1"/>
  <c r="N27" i="24" a="1"/>
  <c r="N27" i="24" s="1"/>
  <c r="O27" i="24" a="1"/>
  <c r="O27" i="24" s="1"/>
  <c r="N26" i="24" a="1"/>
  <c r="N26" i="24" s="1"/>
  <c r="AB24" i="24" a="1"/>
  <c r="AB24" i="24" s="1"/>
  <c r="Z24" i="24" a="1"/>
  <c r="Z24" i="24" s="1"/>
  <c r="AA24" i="24" a="1"/>
  <c r="AA24" i="24" s="1"/>
  <c r="AA22" i="24" a="1"/>
  <c r="AA22" i="24" s="1"/>
  <c r="AB22" i="24" a="1"/>
  <c r="AB22" i="24" s="1"/>
  <c r="Z23" i="24" a="1"/>
  <c r="Z23" i="24" s="1"/>
  <c r="AB23" i="24" a="1"/>
  <c r="AB23" i="24" s="1"/>
  <c r="F24" i="24" a="1"/>
  <c r="F24" i="24" s="1"/>
  <c r="F23" i="24" a="1"/>
  <c r="F23" i="24" s="1"/>
  <c r="G24" i="24" a="1"/>
  <c r="G24" i="24" s="1"/>
  <c r="H23" i="24" a="1"/>
  <c r="H23" i="24" s="1"/>
  <c r="H24" i="24" a="1"/>
  <c r="H24" i="24" s="1"/>
  <c r="G22" i="24" a="1"/>
  <c r="G22" i="24" s="1"/>
  <c r="H22" i="24" a="1"/>
  <c r="H22" i="24" s="1"/>
  <c r="AI19" i="24" a="1"/>
  <c r="AI19" i="24" s="1"/>
  <c r="AJ20" i="24" a="1"/>
  <c r="AJ20" i="24" s="1"/>
  <c r="AH20" i="24" a="1"/>
  <c r="AH20" i="24" s="1"/>
  <c r="AH21" i="24" a="1"/>
  <c r="AH21" i="24" s="1"/>
  <c r="AJ21" i="24" a="1"/>
  <c r="AJ21" i="24" s="1"/>
  <c r="AJ19" i="24" a="1"/>
  <c r="AJ19" i="24" s="1"/>
  <c r="AI21" i="24" a="1"/>
  <c r="AI21" i="24" s="1"/>
  <c r="T19" i="24" a="1"/>
  <c r="T19" i="24" s="1"/>
  <c r="R20" i="24" a="1"/>
  <c r="R20" i="24" s="1"/>
  <c r="T20" i="24" a="1"/>
  <c r="T20" i="24" s="1"/>
  <c r="R21" i="24" a="1"/>
  <c r="R21" i="24" s="1"/>
  <c r="S21" i="24" a="1"/>
  <c r="S21" i="24" s="1"/>
  <c r="T21" i="24" a="1"/>
  <c r="T21" i="24" s="1"/>
  <c r="S19" i="24" a="1"/>
  <c r="S19" i="24" s="1"/>
  <c r="W16" i="24" a="1"/>
  <c r="W16" i="24" s="1"/>
  <c r="X16" i="24" a="1"/>
  <c r="X16" i="24" s="1"/>
  <c r="V17" i="24" a="1"/>
  <c r="V17" i="24" s="1"/>
  <c r="V18" i="24" a="1"/>
  <c r="V18" i="24" s="1"/>
  <c r="X17" i="24" a="1"/>
  <c r="X17" i="24" s="1"/>
  <c r="W18" i="24" a="1"/>
  <c r="W18" i="24" s="1"/>
  <c r="X18" i="24" a="1"/>
  <c r="X18" i="24" s="1"/>
  <c r="P18" i="24" a="1"/>
  <c r="P18" i="24" s="1"/>
  <c r="O16" i="24" a="1"/>
  <c r="O16" i="24" s="1"/>
  <c r="P16" i="24" a="1"/>
  <c r="P16" i="24" s="1"/>
  <c r="N17" i="24" a="1"/>
  <c r="N17" i="24" s="1"/>
  <c r="P17" i="24" a="1"/>
  <c r="P17" i="24" s="1"/>
  <c r="N18" i="24" a="1"/>
  <c r="N18" i="24" s="1"/>
  <c r="O18" i="24" a="1"/>
  <c r="O18" i="24" s="1"/>
  <c r="B17" i="24" a="1"/>
  <c r="B17" i="24" s="1"/>
  <c r="D17" i="24" a="1"/>
  <c r="D17" i="24" s="1"/>
  <c r="B18" i="24" a="1"/>
  <c r="B18" i="24" s="1"/>
  <c r="C16" i="24" a="1"/>
  <c r="C16" i="24" s="1"/>
  <c r="C18" i="24" a="1"/>
  <c r="C18" i="24" s="1"/>
  <c r="D16" i="24" a="1"/>
  <c r="D16" i="24" s="1"/>
  <c r="D18" i="24" a="1"/>
  <c r="D18" i="24" s="1"/>
  <c r="AJ15" i="24" a="1"/>
  <c r="AJ15" i="24" s="1"/>
  <c r="AI13" i="24" a="1"/>
  <c r="AI13" i="24" s="1"/>
  <c r="AH14" i="24" a="1"/>
  <c r="AH14" i="24" s="1"/>
  <c r="AH15" i="24" a="1"/>
  <c r="AH15" i="24" s="1"/>
  <c r="AI15" i="24" a="1"/>
  <c r="AI15" i="24" s="1"/>
  <c r="AJ13" i="24" a="1"/>
  <c r="AJ13" i="24" s="1"/>
  <c r="AJ14" i="24" a="1"/>
  <c r="AJ14" i="24" s="1"/>
  <c r="S13" i="24" a="1"/>
  <c r="S13" i="24" s="1"/>
  <c r="T13" i="24" a="1"/>
  <c r="T13" i="24" s="1"/>
  <c r="R14" i="24" a="1"/>
  <c r="R14" i="24" s="1"/>
  <c r="R15" i="24" a="1"/>
  <c r="R15" i="24" s="1"/>
  <c r="T14" i="24" a="1"/>
  <c r="T14" i="24" s="1"/>
  <c r="S15" i="24" a="1"/>
  <c r="S15" i="24" s="1"/>
  <c r="T15" i="24" a="1"/>
  <c r="T15" i="24" s="1"/>
  <c r="B15" i="24" a="1"/>
  <c r="B15" i="24" s="1"/>
  <c r="B14" i="24" a="1"/>
  <c r="B14" i="24" s="1"/>
  <c r="C15" i="24" a="1"/>
  <c r="C15" i="24" s="1"/>
  <c r="D14" i="24" a="1"/>
  <c r="D14" i="24" s="1"/>
  <c r="D15" i="24" a="1"/>
  <c r="D15" i="24" s="1"/>
  <c r="C13" i="24" a="1"/>
  <c r="C13" i="24" s="1"/>
  <c r="D13" i="24" a="1"/>
  <c r="D13" i="24" s="1"/>
  <c r="AE12" i="24" a="1"/>
  <c r="AE12" i="24" s="1"/>
  <c r="AF12" i="24" a="1"/>
  <c r="AF12" i="24" s="1"/>
  <c r="AF10" i="24" a="1"/>
  <c r="AF10" i="24" s="1"/>
  <c r="AE10" i="24" a="1"/>
  <c r="AE10" i="24" s="1"/>
  <c r="AD12" i="24" a="1"/>
  <c r="AD12" i="24" s="1"/>
  <c r="AD11" i="24" a="1"/>
  <c r="AD11" i="24" s="1"/>
  <c r="AF11" i="24" a="1"/>
  <c r="AF11" i="24" s="1"/>
  <c r="F12" i="24" a="1"/>
  <c r="F12" i="24" s="1"/>
  <c r="F11" i="24" a="1"/>
  <c r="F11" i="24" s="1"/>
  <c r="G12" i="24" a="1"/>
  <c r="G12" i="24" s="1"/>
  <c r="H11" i="24" a="1"/>
  <c r="H11" i="24" s="1"/>
  <c r="H12" i="24" a="1"/>
  <c r="H12" i="24" s="1"/>
  <c r="G10" i="24" a="1"/>
  <c r="G10" i="24" s="1"/>
  <c r="H10" i="24" a="1"/>
  <c r="H10" i="24" s="1"/>
  <c r="W7" i="24" a="1"/>
  <c r="W7" i="24" s="1"/>
  <c r="V8" i="24" a="1"/>
  <c r="V8" i="24" s="1"/>
  <c r="W9" i="24" a="1"/>
  <c r="W9" i="24" s="1"/>
  <c r="V9" i="24" a="1"/>
  <c r="V9" i="24" s="1"/>
  <c r="X8" i="24" a="1"/>
  <c r="X8" i="24" s="1"/>
  <c r="X9" i="24" a="1"/>
  <c r="X9" i="24" s="1"/>
  <c r="N9" i="24" a="1"/>
  <c r="N9" i="24" s="1"/>
  <c r="O9" i="24" a="1"/>
  <c r="O9" i="24" s="1"/>
  <c r="O7" i="24" a="1"/>
  <c r="O7" i="24" s="1"/>
  <c r="P9" i="24" a="1"/>
  <c r="P9" i="24" s="1"/>
  <c r="N8" i="24" a="1"/>
  <c r="N8" i="24" s="1"/>
  <c r="P8" i="24" a="1"/>
  <c r="P8" i="24" s="1"/>
  <c r="C7" i="24" a="1"/>
  <c r="C7" i="24" s="1"/>
  <c r="C9" i="24" a="1"/>
  <c r="C9" i="24" s="1"/>
  <c r="D7" i="24" a="1"/>
  <c r="D7" i="24" s="1"/>
  <c r="D9" i="24" a="1"/>
  <c r="D9" i="24" s="1"/>
  <c r="B8" i="24" a="1"/>
  <c r="B8" i="24" s="1"/>
  <c r="D8" i="24" a="1"/>
  <c r="D8" i="24" s="1"/>
  <c r="B9" i="24" a="1"/>
  <c r="B9" i="24" s="1"/>
  <c r="S6" i="24" a="1"/>
  <c r="S6" i="24" s="1"/>
  <c r="R6" i="24" a="1"/>
  <c r="R6" i="24" s="1"/>
  <c r="S4" i="24" a="1"/>
  <c r="S4" i="24" s="1"/>
  <c r="T6" i="24" a="1"/>
  <c r="T6" i="24" s="1"/>
  <c r="T4" i="24" a="1"/>
  <c r="T4" i="24" s="1"/>
  <c r="R5" i="24" a="1"/>
  <c r="R5" i="24" s="1"/>
  <c r="T5" i="24" a="1"/>
  <c r="T5" i="24" s="1"/>
  <c r="G4" i="24" a="1"/>
  <c r="G4" i="24" s="1"/>
  <c r="H4" i="24" a="1"/>
  <c r="H4" i="24" s="1"/>
  <c r="F6" i="24" a="1"/>
  <c r="F6" i="24" s="1"/>
  <c r="G6" i="24" a="1"/>
  <c r="G6" i="24" s="1"/>
  <c r="H6" i="24" a="1"/>
  <c r="H6" i="24" s="1"/>
  <c r="F5" i="24" a="1"/>
  <c r="F5" i="24" s="1"/>
  <c r="H5" i="24" a="1"/>
  <c r="H5"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J29" i="21" a="1"/>
  <c r="AJ29" i="21" s="1"/>
  <c r="AH30" i="21" a="1"/>
  <c r="AH30" i="21" s="1"/>
  <c r="AI30" i="21" a="1"/>
  <c r="AI30" i="21" s="1"/>
  <c r="AI28" i="21" a="1"/>
  <c r="AI28" i="21" s="1"/>
  <c r="AF30" i="21" a="1"/>
  <c r="AF30" i="21" s="1"/>
  <c r="AD29" i="21" a="1"/>
  <c r="AD29" i="21" s="1"/>
  <c r="AF29" i="21" a="1"/>
  <c r="AF29" i="21" s="1"/>
  <c r="AE28" i="21" a="1"/>
  <c r="AE28" i="21" s="1"/>
  <c r="AD30" i="21" a="1"/>
  <c r="AD30" i="21" s="1"/>
  <c r="AF28" i="21" a="1"/>
  <c r="AF28" i="21" s="1"/>
  <c r="AE30" i="21" a="1"/>
  <c r="AE30" i="21" s="1"/>
  <c r="W25" i="21" a="1"/>
  <c r="W25" i="21" s="1"/>
  <c r="V26" i="21" a="1"/>
  <c r="V26" i="21" s="1"/>
  <c r="P25" i="21" a="1"/>
  <c r="P25" i="21" s="1"/>
  <c r="P27" i="21" a="1"/>
  <c r="P27" i="21" s="1"/>
  <c r="O25" i="21" a="1"/>
  <c r="O25" i="21" s="1"/>
  <c r="P26" i="21" a="1"/>
  <c r="P26" i="21" s="1"/>
  <c r="N27" i="21" a="1"/>
  <c r="N27" i="21" s="1"/>
  <c r="N26" i="21" a="1"/>
  <c r="N26" i="21" s="1"/>
  <c r="AA22" i="21" a="1"/>
  <c r="AA22" i="21" s="1"/>
  <c r="AB22" i="21" a="1"/>
  <c r="AB22" i="21" s="1"/>
  <c r="Z23" i="21" a="1"/>
  <c r="Z23"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C21" i="21" a="1"/>
  <c r="C21" i="21" s="1"/>
  <c r="B20" i="21" a="1"/>
  <c r="B20" i="21" s="1"/>
  <c r="D21" i="21" a="1"/>
  <c r="D21" i="21" s="1"/>
  <c r="D20" i="21" a="1"/>
  <c r="D20" i="21" s="1"/>
  <c r="AH18" i="21" a="1"/>
  <c r="AH18" i="21" s="1"/>
  <c r="AI18" i="21" a="1"/>
  <c r="AI18" i="21" s="1"/>
  <c r="AJ18" i="21" a="1"/>
  <c r="AJ18" i="21" s="1"/>
  <c r="AI16" i="21" a="1"/>
  <c r="AI16"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G21" i="24" a="1"/>
  <c r="G21" i="24" s="1"/>
  <c r="H21" i="24" a="1"/>
  <c r="H21" i="24" s="1"/>
  <c r="H19" i="24" a="1"/>
  <c r="H19" i="24" s="1"/>
  <c r="F20" i="24" a="1"/>
  <c r="F20" i="24" s="1"/>
  <c r="F21" i="24" a="1"/>
  <c r="F21" i="24" s="1"/>
  <c r="H20" i="24" a="1"/>
  <c r="H20" i="24" s="1"/>
  <c r="G19" i="24" a="1"/>
  <c r="G19" i="24" s="1"/>
  <c r="AB7" i="24" a="1"/>
  <c r="AB7" i="24" s="1"/>
  <c r="Z9" i="24" a="1"/>
  <c r="Z9" i="24" s="1"/>
  <c r="Z8" i="24" a="1"/>
  <c r="Z8" i="24" s="1"/>
  <c r="AB8" i="24" a="1"/>
  <c r="AB8" i="24" s="1"/>
  <c r="AA9" i="24" a="1"/>
  <c r="AA9" i="24" s="1"/>
  <c r="AB9" i="24" a="1"/>
  <c r="AB9" i="24" s="1"/>
  <c r="AA7" i="24" a="1"/>
  <c r="AA7" i="24" s="1"/>
  <c r="AB17" i="24" a="1"/>
  <c r="AB17" i="24" s="1"/>
  <c r="Z18" i="24" a="1"/>
  <c r="Z18" i="24" s="1"/>
  <c r="AA18" i="24" a="1"/>
  <c r="AA18" i="24" s="1"/>
  <c r="AA16" i="24" a="1"/>
  <c r="AA16" i="24" s="1"/>
  <c r="AB16" i="24" a="1"/>
  <c r="AB16" i="24" s="1"/>
  <c r="AB18" i="24" a="1"/>
  <c r="AB18" i="24" s="1"/>
  <c r="Z17" i="24" a="1"/>
  <c r="Z17" i="24" s="1"/>
  <c r="G7" i="24" a="1"/>
  <c r="G7" i="24" s="1"/>
  <c r="F9" i="24" a="1"/>
  <c r="F9" i="24" s="1"/>
  <c r="H7" i="24" a="1"/>
  <c r="H7" i="24" s="1"/>
  <c r="G9" i="24" a="1"/>
  <c r="G9" i="24" s="1"/>
  <c r="H9" i="24" a="1"/>
  <c r="H9" i="24" s="1"/>
  <c r="F8" i="24" a="1"/>
  <c r="F8" i="24" s="1"/>
  <c r="H8" i="24" a="1"/>
  <c r="H8" i="24" s="1"/>
  <c r="C27" i="24" a="1"/>
  <c r="C27" i="24" s="1"/>
  <c r="N21" i="24" a="1"/>
  <c r="N21" i="24" s="1"/>
  <c r="O21" i="24" a="1"/>
  <c r="O21" i="24" s="1"/>
  <c r="O19" i="24" a="1"/>
  <c r="O19" i="24" s="1"/>
  <c r="P21" i="24" a="1"/>
  <c r="P21" i="24" s="1"/>
  <c r="P20" i="24" a="1"/>
  <c r="P20" i="24" s="1"/>
  <c r="N20" i="24" a="1"/>
  <c r="N20" i="24" s="1"/>
  <c r="P19" i="24" a="1"/>
  <c r="P19" i="24" s="1"/>
  <c r="AE16" i="24" a="1"/>
  <c r="AE16" i="24" s="1"/>
  <c r="AD17" i="24" a="1"/>
  <c r="AD17" i="24" s="1"/>
  <c r="AF18" i="24" a="1"/>
  <c r="AF18" i="24" s="1"/>
  <c r="AF17" i="24" a="1"/>
  <c r="AF17" i="24" s="1"/>
  <c r="AF16" i="24" a="1"/>
  <c r="AF16" i="24" s="1"/>
  <c r="AD18" i="24" a="1"/>
  <c r="AD18" i="24" s="1"/>
  <c r="AE18" i="24" a="1"/>
  <c r="AE18" i="24" s="1"/>
  <c r="K18" i="24" a="1"/>
  <c r="K18" i="24" s="1"/>
  <c r="L18" i="24" a="1"/>
  <c r="L18" i="24" s="1"/>
  <c r="K16" i="24" a="1"/>
  <c r="K16" i="24" s="1"/>
  <c r="J17" i="24" a="1"/>
  <c r="J17" i="24" s="1"/>
  <c r="L16" i="24" a="1"/>
  <c r="L16" i="24" s="1"/>
  <c r="L17" i="24" a="1"/>
  <c r="L17" i="24" s="1"/>
  <c r="J18" i="24" a="1"/>
  <c r="J18" i="24" s="1"/>
  <c r="Z6" i="24" a="1"/>
  <c r="Z6" i="24" s="1"/>
  <c r="AA6" i="24" a="1"/>
  <c r="AA6" i="24" s="1"/>
  <c r="AB6" i="24" a="1"/>
  <c r="AB6" i="24" s="1"/>
  <c r="Z5" i="24" a="1"/>
  <c r="Z5" i="24" s="1"/>
  <c r="L29" i="24" a="1"/>
  <c r="L29" i="24" s="1"/>
  <c r="J30" i="24" a="1"/>
  <c r="J30" i="24" s="1"/>
  <c r="K30" i="24" a="1"/>
  <c r="K30" i="24" s="1"/>
  <c r="K28" i="24" a="1"/>
  <c r="K28" i="24" s="1"/>
  <c r="L30" i="24" a="1"/>
  <c r="L30" i="24" s="1"/>
  <c r="L28" i="24" a="1"/>
  <c r="L28" i="24" s="1"/>
  <c r="J29" i="24" a="1"/>
  <c r="J29" i="24" s="1"/>
  <c r="V11" i="24" a="1"/>
  <c r="V11" i="24" s="1"/>
  <c r="X11" i="24" a="1"/>
  <c r="X11" i="24" s="1"/>
  <c r="V12" i="24" a="1"/>
  <c r="V12" i="24" s="1"/>
  <c r="W10" i="24" a="1"/>
  <c r="W10" i="24" s="1"/>
  <c r="W12" i="24" a="1"/>
  <c r="W12" i="24" s="1"/>
  <c r="X10" i="24" a="1"/>
  <c r="X10" i="24" s="1"/>
  <c r="X12" i="24" a="1"/>
  <c r="X12" i="24" s="1"/>
  <c r="B12" i="24" a="1"/>
  <c r="B12" i="24" s="1"/>
  <c r="C12" i="24" a="1"/>
  <c r="C12" i="24" s="1"/>
  <c r="C10" i="24" a="1"/>
  <c r="C10" i="24" s="1"/>
  <c r="D10" i="24" a="1"/>
  <c r="D10" i="24" s="1"/>
  <c r="D12" i="24" a="1"/>
  <c r="D12" i="24" s="1"/>
  <c r="B11" i="24" a="1"/>
  <c r="B11" i="24" s="1"/>
  <c r="D11" i="24" a="1"/>
  <c r="D11" i="24" s="1"/>
  <c r="D27" i="24" a="1"/>
  <c r="D27" i="24" s="1"/>
  <c r="D26" i="24" a="1"/>
  <c r="D26" i="24" s="1"/>
  <c r="C25" i="24" a="1"/>
  <c r="C25" i="24" s="1"/>
  <c r="D25" i="24" a="1"/>
  <c r="D25" i="24" s="1"/>
  <c r="AH5" i="24" a="1"/>
  <c r="AH5" i="24" s="1"/>
  <c r="AH6" i="24" a="1"/>
  <c r="AH6" i="24" s="1"/>
  <c r="AJ5" i="24" a="1"/>
  <c r="AJ5" i="24" s="1"/>
  <c r="AI6" i="24" a="1"/>
  <c r="AI6" i="24" s="1"/>
  <c r="AI4" i="24" a="1"/>
  <c r="AI4" i="24" s="1"/>
  <c r="AJ6" i="24" a="1"/>
  <c r="AJ6" i="24" s="1"/>
  <c r="AJ4" i="24" a="1"/>
  <c r="AJ4" i="24" s="1"/>
  <c r="G16" i="24" a="1"/>
  <c r="G16" i="24" s="1"/>
  <c r="H16" i="24" a="1"/>
  <c r="H16" i="24" s="1"/>
  <c r="F17" i="24" a="1"/>
  <c r="F17" i="24" s="1"/>
  <c r="F18" i="24" a="1"/>
  <c r="F18" i="24" s="1"/>
  <c r="H18" i="24" a="1"/>
  <c r="H18" i="24" s="1"/>
  <c r="H17" i="24" a="1"/>
  <c r="H17" i="24" s="1"/>
  <c r="G18" i="24" a="1"/>
  <c r="G18" i="24" s="1"/>
  <c r="AI12" i="24" a="1"/>
  <c r="AI12" i="24" s="1"/>
  <c r="AJ12" i="24" a="1"/>
  <c r="AJ12" i="24" s="1"/>
  <c r="AI10" i="24" a="1"/>
  <c r="AI10" i="24" s="1"/>
  <c r="AJ10" i="24" a="1"/>
  <c r="AJ10" i="24" s="1"/>
  <c r="AH11" i="24" a="1"/>
  <c r="AH11" i="24" s="1"/>
  <c r="AH12" i="24" a="1"/>
  <c r="AH12" i="24" s="1"/>
  <c r="AJ11" i="24" a="1"/>
  <c r="AJ11" i="24" s="1"/>
  <c r="P28" i="24" a="1"/>
  <c r="P28" i="24" s="1"/>
  <c r="N29" i="24" a="1"/>
  <c r="N29" i="24" s="1"/>
  <c r="O30" i="24" a="1"/>
  <c r="O30" i="24" s="1"/>
  <c r="P29" i="24" a="1"/>
  <c r="P29" i="24" s="1"/>
  <c r="P30" i="24" a="1"/>
  <c r="P30"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D28" i="24" a="1"/>
  <c r="D28" i="24" s="1"/>
  <c r="B30" i="24" a="1"/>
  <c r="B30" i="24" s="1"/>
  <c r="B29" i="24" a="1"/>
  <c r="B29" i="24" s="1"/>
  <c r="C30" i="24" a="1"/>
  <c r="C30" i="24" s="1"/>
  <c r="D29" i="24" a="1"/>
  <c r="D29" i="24" s="1"/>
  <c r="D30" i="24" a="1"/>
  <c r="D30" i="24" s="1"/>
  <c r="W19" i="24" a="1"/>
  <c r="W19" i="24" s="1"/>
  <c r="X19" i="24" a="1"/>
  <c r="X19" i="24" s="1"/>
  <c r="V20" i="24" a="1"/>
  <c r="V20" i="24" s="1"/>
  <c r="X20" i="24" a="1"/>
  <c r="X20" i="24" s="1"/>
  <c r="V21" i="24" a="1"/>
  <c r="V21" i="24" s="1"/>
  <c r="X21" i="24" a="1"/>
  <c r="X21" i="24" s="1"/>
  <c r="W21" i="24" a="1"/>
  <c r="W21" i="24" s="1"/>
  <c r="H30" i="24" a="1"/>
  <c r="H30" i="24" s="1"/>
  <c r="G28" i="24" a="1"/>
  <c r="G28" i="24" s="1"/>
  <c r="H28" i="24" a="1"/>
  <c r="H28" i="24" s="1"/>
  <c r="F29" i="24" a="1"/>
  <c r="F29" i="24" s="1"/>
  <c r="H29" i="24" a="1"/>
  <c r="H29" i="24" s="1"/>
  <c r="F30" i="24" a="1"/>
  <c r="F30" i="24" s="1"/>
  <c r="AF19" i="24" a="1"/>
  <c r="AF19" i="24" s="1"/>
  <c r="AD20" i="24" a="1"/>
  <c r="AD20" i="24" s="1"/>
  <c r="AF20" i="24" a="1"/>
  <c r="AF20" i="24" s="1"/>
  <c r="AF21" i="24" a="1"/>
  <c r="AF21" i="24" s="1"/>
  <c r="AE19" i="24" a="1"/>
  <c r="AE19" i="24" s="1"/>
  <c r="AD21" i="24" a="1"/>
  <c r="AD21" i="24" s="1"/>
  <c r="AE21" i="24" a="1"/>
  <c r="AE21" i="24" s="1"/>
  <c r="L19" i="24" a="1"/>
  <c r="L19" i="24" s="1"/>
  <c r="J20" i="24" a="1"/>
  <c r="J20" i="24" s="1"/>
  <c r="L20" i="24" a="1"/>
  <c r="L20" i="24" s="1"/>
  <c r="K21" i="24" a="1"/>
  <c r="K21" i="24" s="1"/>
  <c r="L21" i="24" a="1"/>
  <c r="L21" i="24" s="1"/>
  <c r="J21" i="24" a="1"/>
  <c r="J21" i="24" s="1"/>
  <c r="K19" i="24" a="1"/>
  <c r="K19" i="24" s="1"/>
  <c r="S22" i="24" a="1"/>
  <c r="S22" i="24" s="1"/>
  <c r="S24" i="24" a="1"/>
  <c r="S24" i="24" s="1"/>
  <c r="R23" i="24" a="1"/>
  <c r="R23" i="24" s="1"/>
  <c r="T24" i="24" a="1"/>
  <c r="T24" i="24" s="1"/>
  <c r="T23" i="24" a="1"/>
  <c r="T23" i="24" s="1"/>
  <c r="T22" i="24" a="1"/>
  <c r="T22" i="24" s="1"/>
  <c r="R24" i="24" a="1"/>
  <c r="R24" i="24" s="1"/>
  <c r="N5" i="24" a="1"/>
  <c r="N5" i="24" s="1"/>
  <c r="P5" i="24" a="1"/>
  <c r="P5" i="24" s="1"/>
  <c r="N6" i="24" a="1"/>
  <c r="N6" i="24" s="1"/>
  <c r="O6" i="24" a="1"/>
  <c r="O6" i="24" s="1"/>
  <c r="P6" i="24" a="1"/>
  <c r="P6" i="24" s="1"/>
  <c r="O4" i="24" a="1"/>
  <c r="O4" i="24" s="1"/>
  <c r="P4" i="24" a="1"/>
  <c r="P4"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E25" i="24" a="1"/>
  <c r="AE25" i="24" s="1"/>
  <c r="AF25" i="24" a="1"/>
  <c r="AF25" i="24" s="1"/>
  <c r="AD26" i="24" a="1"/>
  <c r="AD26" i="24" s="1"/>
  <c r="AF26" i="24" a="1"/>
  <c r="AF26" i="24" s="1"/>
  <c r="AD27" i="24" a="1"/>
  <c r="AD27" i="24" s="1"/>
  <c r="AE27" i="24" a="1"/>
  <c r="AE27" i="24" s="1"/>
  <c r="V30" i="24" a="1"/>
  <c r="V30" i="24" s="1"/>
  <c r="W30" i="24" a="1"/>
  <c r="W30" i="24" s="1"/>
  <c r="X30" i="24" a="1"/>
  <c r="X30" i="24" s="1"/>
  <c r="W28" i="24" a="1"/>
  <c r="W28" i="24" s="1"/>
  <c r="V29" i="24" a="1"/>
  <c r="V29" i="24" s="1"/>
  <c r="N30" i="24" a="1"/>
  <c r="N30" i="24" s="1"/>
  <c r="C28" i="24" a="1"/>
  <c r="C28" i="24" s="1"/>
  <c r="S10" i="24" a="1"/>
  <c r="S10" i="24" s="1"/>
  <c r="T10" i="24" a="1"/>
  <c r="T10" i="24" s="1"/>
  <c r="R12" i="24" a="1"/>
  <c r="R12" i="24" s="1"/>
  <c r="R11" i="24" a="1"/>
  <c r="R11" i="24" s="1"/>
  <c r="S12" i="24" a="1"/>
  <c r="S12" i="24" s="1"/>
  <c r="T11" i="24" a="1"/>
  <c r="T11" i="24" s="1"/>
  <c r="T12" i="24" a="1"/>
  <c r="T12" i="24" s="1"/>
  <c r="AF8" i="24" a="1"/>
  <c r="AF8" i="24" s="1"/>
  <c r="AD9" i="24" a="1"/>
  <c r="AD9" i="24" s="1"/>
  <c r="AE9" i="24" a="1"/>
  <c r="AE9" i="24" s="1"/>
  <c r="AE7" i="24" a="1"/>
  <c r="AE7" i="24" s="1"/>
  <c r="AF9" i="24" a="1"/>
  <c r="AF9" i="24" s="1"/>
  <c r="AF7" i="24" a="1"/>
  <c r="AF7" i="24" s="1"/>
  <c r="AD8" i="24" a="1"/>
  <c r="AD8" i="24" s="1"/>
  <c r="K27" i="24" a="1"/>
  <c r="K27" i="24" s="1"/>
  <c r="K25" i="24" a="1"/>
  <c r="K25" i="24" s="1"/>
  <c r="J26" i="24" a="1"/>
  <c r="J26" i="24" s="1"/>
  <c r="L26" i="24" a="1"/>
  <c r="L26" i="24" s="1"/>
  <c r="L25" i="24" a="1"/>
  <c r="L25" i="24" s="1"/>
  <c r="F27" i="24" a="1"/>
  <c r="F27" i="24" s="1"/>
  <c r="F26" i="24" a="1"/>
  <c r="F26" i="24" s="1"/>
  <c r="G27" i="24" a="1"/>
  <c r="G27" i="24" s="1"/>
  <c r="H26" i="24" a="1"/>
  <c r="H26" i="24" s="1"/>
  <c r="H27" i="24" a="1"/>
  <c r="H27" i="24" s="1"/>
  <c r="G25" i="24" a="1"/>
  <c r="G25" i="24" s="1"/>
  <c r="H25" i="24" a="1"/>
  <c r="H25" i="24" s="1"/>
  <c r="AB4" i="24" a="1"/>
  <c r="AB4" i="24" s="1"/>
  <c r="O28" i="24" a="1"/>
  <c r="O28" i="24" s="1"/>
  <c r="AJ9" i="24" a="1"/>
  <c r="AJ9" i="24" s="1"/>
  <c r="AJ7" i="24" a="1"/>
  <c r="AJ7" i="24" s="1"/>
  <c r="AH8" i="24" a="1"/>
  <c r="AH8" i="24" s="1"/>
  <c r="AJ8" i="24" a="1"/>
  <c r="AJ8" i="24" s="1"/>
  <c r="AH9" i="24" a="1"/>
  <c r="AH9" i="24" s="1"/>
  <c r="AI9" i="24" a="1"/>
  <c r="AI9" i="24" s="1"/>
  <c r="AI7" i="24" a="1"/>
  <c r="AI7" i="24" s="1"/>
  <c r="AU8" i="24"/>
  <c r="J8" i="24" a="1"/>
  <c r="J8" i="24" s="1"/>
  <c r="J9" i="24" a="1"/>
  <c r="J9" i="24" s="1"/>
  <c r="L7" i="24" a="1"/>
  <c r="L7" i="24" s="1"/>
  <c r="L8" i="24" a="1"/>
  <c r="L8" i="24" s="1"/>
  <c r="K9" i="24" a="1"/>
  <c r="K9" i="24" s="1"/>
  <c r="L9" i="24" a="1"/>
  <c r="L9" i="24" s="1"/>
  <c r="K7" i="24" a="1"/>
  <c r="K7" i="24" s="1"/>
  <c r="C24" i="24" a="1"/>
  <c r="C24" i="24" s="1"/>
  <c r="B23" i="24" a="1"/>
  <c r="B23" i="24" s="1"/>
  <c r="C22" i="24" a="1"/>
  <c r="C22" i="24" s="1"/>
  <c r="D22" i="24" a="1"/>
  <c r="D22" i="24" s="1"/>
  <c r="B24" i="24" a="1"/>
  <c r="B24" i="24" s="1"/>
  <c r="D24" i="24" a="1"/>
  <c r="D24" i="24" s="1"/>
  <c r="D23" i="24" a="1"/>
  <c r="D23" i="24" s="1"/>
  <c r="AE13" i="24" a="1"/>
  <c r="AE13" i="24" s="1"/>
  <c r="AF13" i="24" a="1"/>
  <c r="AF13" i="24" s="1"/>
  <c r="AD15" i="24" a="1"/>
  <c r="AD15" i="24" s="1"/>
  <c r="AD14" i="24" a="1"/>
  <c r="AD14" i="24" s="1"/>
  <c r="AF14" i="24" a="1"/>
  <c r="AF14" i="24" s="1"/>
  <c r="AF15" i="24" a="1"/>
  <c r="AF15" i="24" s="1"/>
  <c r="AE15" i="24" a="1"/>
  <c r="AE15" i="24" s="1"/>
  <c r="AA4" i="24" a="1"/>
  <c r="AA4" i="24" s="1"/>
  <c r="B26" i="24" a="1"/>
  <c r="B26" i="24" s="1"/>
  <c r="R18" i="24" a="1"/>
  <c r="R18" i="24" s="1"/>
  <c r="R17" i="24" a="1"/>
  <c r="R17" i="24" s="1"/>
  <c r="S18" i="24" a="1"/>
  <c r="S18" i="24" s="1"/>
  <c r="S16" i="24" a="1"/>
  <c r="S16" i="24" s="1"/>
  <c r="T16" i="24" a="1"/>
  <c r="T16" i="24" s="1"/>
  <c r="T18" i="24" a="1"/>
  <c r="T18" i="24" s="1"/>
  <c r="T17" i="24" a="1"/>
  <c r="T17" i="24" s="1"/>
  <c r="L27" i="24" a="1"/>
  <c r="L27" i="24" s="1"/>
  <c r="X29" i="24" a="1"/>
  <c r="X29" i="24" s="1"/>
  <c r="AB15" i="24" a="1"/>
  <c r="AB15" i="24" s="1"/>
  <c r="Z14" i="24" a="1"/>
  <c r="Z14" i="24" s="1"/>
  <c r="AA13" i="24" a="1"/>
  <c r="AA13" i="24" s="1"/>
  <c r="AB13" i="24" a="1"/>
  <c r="AB13" i="24" s="1"/>
  <c r="Z15" i="24" a="1"/>
  <c r="Z15" i="24" s="1"/>
  <c r="AA15" i="24" a="1"/>
  <c r="AA15" i="24" s="1"/>
  <c r="AB14" i="24" a="1"/>
  <c r="AB14" i="24" s="1"/>
  <c r="AJ24" i="24" a="1"/>
  <c r="AJ24" i="24" s="1"/>
  <c r="AH23" i="24" a="1"/>
  <c r="AH23" i="24" s="1"/>
  <c r="AH24" i="24" a="1"/>
  <c r="AH24" i="24" s="1"/>
  <c r="AJ23" i="24" a="1"/>
  <c r="AJ23" i="24" s="1"/>
  <c r="AI22" i="24" a="1"/>
  <c r="AI22" i="24" s="1"/>
  <c r="AJ22" i="24" a="1"/>
  <c r="AJ22" i="24" s="1"/>
  <c r="AI24" i="24" a="1"/>
  <c r="AI2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6" i="24" a="1"/>
  <c r="L6" i="24" s="1"/>
  <c r="K4" i="24" a="1"/>
  <c r="K4" i="24" s="1"/>
  <c r="L4" i="24" a="1"/>
  <c r="L4" i="24" s="1"/>
  <c r="J5" i="24" a="1"/>
  <c r="J5" i="24" s="1"/>
  <c r="J6" i="24" a="1"/>
  <c r="J6" i="24" s="1"/>
  <c r="L5" i="24" a="1"/>
  <c r="L5" i="24" s="1"/>
  <c r="K6" i="24" a="1"/>
  <c r="K6" i="24" s="1"/>
  <c r="J24" i="24" a="1"/>
  <c r="J24" i="24" s="1"/>
  <c r="J23" i="24" a="1"/>
  <c r="J23" i="24" s="1"/>
  <c r="L23" i="24" a="1"/>
  <c r="L23" i="24" s="1"/>
  <c r="K24" i="24" a="1"/>
  <c r="K24" i="24" s="1"/>
  <c r="L24" i="24" a="1"/>
  <c r="L24" i="24" s="1"/>
  <c r="K22" i="24" a="1"/>
  <c r="K22" i="24" s="1"/>
  <c r="L22" i="24" a="1"/>
  <c r="L22"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AA21" i="24" a="1"/>
  <c r="AA21" i="24" s="1"/>
  <c r="AB21" i="24" a="1"/>
  <c r="AB21" i="24" s="1"/>
  <c r="AB19" i="24" a="1"/>
  <c r="AB19" i="24" s="1"/>
  <c r="Z21" i="24" a="1"/>
  <c r="Z21" i="24" s="1"/>
  <c r="AA19" i="24" a="1"/>
  <c r="AA19" i="24" s="1"/>
  <c r="Z20" i="24" a="1"/>
  <c r="Z20" i="24" s="1"/>
  <c r="AB20" i="24" a="1"/>
  <c r="AB20"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AH17" i="21" l="1" a="1"/>
  <c r="AH17" i="21" s="1"/>
  <c r="AH29" i="21" a="1"/>
  <c r="AH29" i="21" s="1"/>
  <c r="V27" i="21" a="1"/>
  <c r="V27" i="21" s="1"/>
  <c r="X26" i="21" a="1"/>
  <c r="X26" i="21" s="1"/>
  <c r="X27" i="21" a="1"/>
  <c r="X27" i="21" s="1"/>
  <c r="W27" i="21" a="1"/>
  <c r="W27" i="21" s="1"/>
  <c r="B90" i="13"/>
  <c r="B89" i="13"/>
  <c r="B90" i="14"/>
  <c r="B89" i="14"/>
  <c r="B90" i="15"/>
  <c r="B89" i="15"/>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<sst xmlns="http://schemas.openxmlformats.org/spreadsheetml/2006/main" count="974" uniqueCount="701">
  <si>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</si>
  <si>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</si>
  <si>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</si>
  <si>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</si>
  <si>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</si>
  <si>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</si>
  <si>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</si>
  <si>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</si>
  <si>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</si>
  <si>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</si>
  <si>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</si>
  <si>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</si>
  <si>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</si>
  <si>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</si>
  <si>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</si>
  <si>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</si>
  <si>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</si>
  <si>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</si>
  <si>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</si>
  <si>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</si>
  <si>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</si>
  <si>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</si>
  <si>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</si>
  <si>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</si>
  <si>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</si>
  <si>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</si>
  <si>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</si>
  <si>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</si>
  <si>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</si>
  <si>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</si>
  <si>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</si>
  <si>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</si>
  <si>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</si>
  <si>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</si>
  <si>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</si>
  <si>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</si>
  <si>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</si>
  <si>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</si>
  <si>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</si>
  <si>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</si>
  <si>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</si>
  <si>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</si>
  <si>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</si>
  <si>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</si>
  <si>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</si>
  <si>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</si>
  <si>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</si>
  <si>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</si>
  <si>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</si>
  <si>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</si>
  <si>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</si>
  <si>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</si>
  <si>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</si>
  <si>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</si>
  <si>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</si>
  <si>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</si>
  <si>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</si>
  <si>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</si>
  <si>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</si>
  <si>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</si>
  <si>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</si>
  <si>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</si>
  <si>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</si>
  <si>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</si>
  <si>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</si>
  <si>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</si>
  <si>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</si>
  <si>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</si>
  <si>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</si>
  <si>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</si>
  <si>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</si>
  <si>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</si>
  <si>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</si>
  <si>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</si>
  <si>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</si>
  <si>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</si>
  <si>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</si>
  <si>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</si>
  <si>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</si>
  <si>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</si>
  <si>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</si>
  <si>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</si>
  <si>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</si>
  <si>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</si>
  <si>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</si>
  <si>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</si>
  <si>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</si>
  <si>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</si>
  <si>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</si>
  <si>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</si>
  <si>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</si>
  <si>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</si>
  <si>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</si>
  <si>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</si>
  <si>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</si>
  <si>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</si>
  <si>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</si>
  <si>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</si>
  <si>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</si>
  <si>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</si>
  <si>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</si>
  <si>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</si>
  <si>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</si>
  <si>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</si>
  <si>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</si>
  <si>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</si>
  <si>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</si>
  <si>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</si>
  <si>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</si>
  <si>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</si>
  <si>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</si>
  <si>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</si>
  <si>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</si>
  <si>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</si>
  <si>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</si>
  <si>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</si>
  <si>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</si>
  <si>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</si>
  <si>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</si>
  <si>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</si>
  <si>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</si>
  <si>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</si>
  <si>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</si>
  <si>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</si>
  <si>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</si>
  <si>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</si>
  <si>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</si>
  <si>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</si>
  <si>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</si>
  <si>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</si>
  <si>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</si>
  <si>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</si>
  <si>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</si>
  <si>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</si>
  <si>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</si>
  <si>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</si>
  <si>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</si>
  <si>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</si>
  <si>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</si>
  <si>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</si>
  <si>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</si>
  <si>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</si>
  <si>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</si>
  <si>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</si>
  <si>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</si>
  <si>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</si>
  <si>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</si>
  <si>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</si>
  <si>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</si>
  <si>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</si>
  <si>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</si>
  <si>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</si>
  <si>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</si>
  <si>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</si>
  <si>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</si>
  <si>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</si>
  <si>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</si>
  <si>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</si>
  <si>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</si>
  <si>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</si>
  <si>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</si>
  <si>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</si>
  <si>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</si>
  <si>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</si>
  <si>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</si>
  <si>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</si>
  <si>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</si>
  <si>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</si>
  <si>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</si>
  <si>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</si>
  <si>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</si>
  <si>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</si>
  <si>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</si>
  <si>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</si>
  <si>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</si>
  <si>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</si>
  <si>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</si>
  <si>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</si>
  <si>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</si>
  <si>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</si>
  <si>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</si>
  <si>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</si>
  <si>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</si>
  <si>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</si>
  <si>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</si>
  <si>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</si>
  <si>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</si>
  <si>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</si>
  <si>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</si>
  <si>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</si>
  <si>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</si>
  <si>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</si>
  <si>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</si>
  <si>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</si>
  <si>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</si>
  <si>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</si>
  <si>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</si>
  <si>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</si>
  <si>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</si>
  <si>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</si>
  <si>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</si>
  <si>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</si>
  <si>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</si>
  <si>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</si>
  <si>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</si>
  <si>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</si>
  <si>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</si>
  <si>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</si>
  <si>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</si>
  <si>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</si>
  <si>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</si>
  <si>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</si>
  <si>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</si>
  <si>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</si>
  <si>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</si>
  <si>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</si>
  <si>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</si>
  <si>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</si>
  <si>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</si>
  <si>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</si>
  <si>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</si>
  <si>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</si>
  <si>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</si>
  <si>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</si>
  <si>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</si>
  <si>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</si>
  <si>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</si>
  <si>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</si>
  <si>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</si>
  <si>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</si>
  <si>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</si>
  <si>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</si>
  <si>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</si>
  <si>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</si>
  <si>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</si>
  <si>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</si>
  <si>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</si>
  <si>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</si>
  <si>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</si>
  <si>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</si>
  <si>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</si>
  <si>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</si>
  <si>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</si>
  <si>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</si>
  <si>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</si>
  <si>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</si>
  <si>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</si>
  <si>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</si>
  <si>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</si>
  <si>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</si>
  <si>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</si>
  <si>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</si>
  <si>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</si>
  <si>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</si>
  <si>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</si>
  <si>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</si>
  <si>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</si>
  <si>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</si>
  <si>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</si>
  <si>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</si>
  <si>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</si>
  <si>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</si>
  <si>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</si>
  <si>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</si>
  <si>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</si>
  <si>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</si>
  <si>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</si>
  <si>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</si>
  <si>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</si>
  <si>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</si>
  <si>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</si>
  <si>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</si>
  <si>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</si>
  <si>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</si>
  <si>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</si>
  <si>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</si>
  <si>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</si>
  <si>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</si>
  <si>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</si>
  <si>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</si>
  <si>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</si>
  <si>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</si>
  <si>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</si>
  <si>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</si>
  <si>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</si>
  <si>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</si>
  <si>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</si>
  <si>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</si>
  <si>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</si>
  <si>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</si>
  <si>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</si>
  <si>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</si>
  <si>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</si>
  <si>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</si>
  <si>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</si>
  <si>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</si>
  <si>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</si>
  <si>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</si>
  <si>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</si>
  <si>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</si>
  <si>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</si>
  <si>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</si>
  <si>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</si>
  <si>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</si>
  <si>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</si>
  <si>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</si>
  <si>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</si>
  <si>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</si>
  <si>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</si>
  <si>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</si>
  <si>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</si>
  <si>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</si>
  <si>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</si>
  <si>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</si>
  <si>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</si>
  <si>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</si>
  <si>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</si>
  <si>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</si>
  <si>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</si>
  <si>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</si>
  <si>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</si>
  <si>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</si>
  <si>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</si>
  <si>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</si>
  <si>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</si>
  <si>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</si>
  <si>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</si>
  <si>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</si>
  <si>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</si>
  <si>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</si>
  <si>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</si>
  <si>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</si>
  <si>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</si>
  <si>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</si>
  <si>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</si>
  <si>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</si>
  <si>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</si>
  <si>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</si>
  <si>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</si>
  <si>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</si>
  <si>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</si>
  <si>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</si>
  <si>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</si>
  <si>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</si>
  <si>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</si>
  <si>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</si>
  <si>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</si>
  <si>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</si>
  <si>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</si>
  <si>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</si>
  <si>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</si>
  <si>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</si>
  <si>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</si>
  <si>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</si>
  <si>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</si>
  <si>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</si>
  <si>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</si>
  <si>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</si>
  <si>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</si>
  <si>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</si>
  <si>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</si>
  <si>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</si>
  <si>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</si>
  <si>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</si>
  <si>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</si>
  <si>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</si>
  <si>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</si>
  <si>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</si>
  <si>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</si>
  <si>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</si>
  <si>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</si>
  <si>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</si>
  <si>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</si>
  <si>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</si>
  <si>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</si>
  <si>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</si>
  <si>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</si>
  <si>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</si>
  <si>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</si>
  <si>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</si>
  <si>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</si>
  <si>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</si>
  <si>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</si>
  <si>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</si>
  <si>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</si>
  <si>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</si>
  <si>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</si>
  <si>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</si>
  <si>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</si>
  <si>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</si>
  <si>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</si>
  <si>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</si>
  <si>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</si>
  <si>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</si>
  <si>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</si>
  <si>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</si>
  <si>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</si>
  <si>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</si>
  <si>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</si>
  <si>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</si>
  <si>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</si>
  <si>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</si>
  <si>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</si>
  <si>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</si>
  <si>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</si>
  <si>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</si>
  <si>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</si>
  <si>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</si>
  <si>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</si>
  <si>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</si>
  <si>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</si>
  <si>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</si>
  <si>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</si>
  <si>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</si>
  <si>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</si>
  <si>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</si>
  <si>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</si>
  <si>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</si>
  <si>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</si>
  <si>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</si>
  <si>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</si>
  <si>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</si>
  <si>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</si>
  <si>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</si>
  <si>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</si>
  <si>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</si>
  <si>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</si>
  <si>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</si>
  <si>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</si>
  <si>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</si>
  <si>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</si>
  <si>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</si>
  <si>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</si>
  <si>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</si>
  <si>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</si>
  <si>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</si>
  <si>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</si>
  <si>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</si>
  <si>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</si>
  <si>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</si>
  <si>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</si>
  <si>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</si>
  <si>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</si>
  <si>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</si>
  <si>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</si>
  <si>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</si>
  <si>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</si>
  <si>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</si>
  <si>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</si>
  <si>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</si>
  <si>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</si>
  <si>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</si>
  <si>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</si>
  <si>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</si>
  <si>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</si>
  <si>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</si>
  <si>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</si>
  <si>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</si>
  <si>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</si>
  <si>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</si>
  <si>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</si>
  <si>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</si>
  <si>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</si>
  <si>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</si>
  <si>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</si>
  <si>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</si>
  <si>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</si>
  <si>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</si>
  <si>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</si>
  <si>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</si>
  <si>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</si>
  <si>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</si>
  <si>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</si>
  <si>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</si>
  <si>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</si>
  <si>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</si>
  <si>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</si>
  <si>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</si>
  <si>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</si>
  <si>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</si>
  <si>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</si>
  <si>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</si>
  <si>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</si>
  <si>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</si>
  <si>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</si>
  <si>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</si>
  <si>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</si>
  <si>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</si>
  <si>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</si>
  <si>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</si>
  <si>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</si>
  <si>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</si>
  <si>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</si>
  <si>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</si>
  <si>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</si>
  <si>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</si>
  <si>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</si>
  <si>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</si>
  <si>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</si>
  <si>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</si>
  <si>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</si>
  <si>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</si>
  <si>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</si>
  <si>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</si>
  <si>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</si>
  <si>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</si>
  <si>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</si>
  <si>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</si>
  <si>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</si>
  <si>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</si>
  <si>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</si>
  <si>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</si>
  <si>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</si>
  <si>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</si>
  <si>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</si>
  <si>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</si>
  <si>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</si>
  <si>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</si>
  <si>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</si>
  <si>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</si>
  <si>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</si>
  <si>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</si>
  <si>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</si>
  <si>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</si>
  <si>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</si>
  <si>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</si>
  <si>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</si>
  <si>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</si>
  <si>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</si>
  <si>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</si>
  <si>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</si>
  <si>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</si>
  <si>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</si>
  <si>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</si>
  <si>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</si>
  <si>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</si>
  <si>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</si>
  <si>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</si>
  <si>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</si>
  <si>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</si>
  <si>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</si>
  <si>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</si>
  <si>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</si>
  <si>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</si>
  <si>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</si>
  <si>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</si>
  <si>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</si>
  <si>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</si>
  <si>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</si>
  <si>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</si>
  <si>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</si>
  <si>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</si>
  <si>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</si>
  <si>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</si>
  <si>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</si>
  <si>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</si>
  <si>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</si>
  <si>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</si>
  <si>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</si>
  <si>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</si>
  <si>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</si>
  <si>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</si>
  <si>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</si>
  <si>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</si>
  <si>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</si>
  <si>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</si>
  <si>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</si>
  <si>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</si>
  <si>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</si>
  <si>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</si>
  <si>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</si>
  <si>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</si>
  <si>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</si>
  <si>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</si>
  <si>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</si>
  <si>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</si>
  <si>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</si>
  <si>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</si>
  <si>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</si>
  <si>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</si>
  <si>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</si>
  <si>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</si>
  <si>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</si>
  <si>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</si>
  <si>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</si>
  <si>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</si>
  <si>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</si>
  <si>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</si>
  <si>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</si>
  <si>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</si>
  <si>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</si>
  <si>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</si>
  <si>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</si>
  <si>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</si>
  <si>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</si>
  <si>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</si>
  <si>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</si>
  <si>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</si>
  <si>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</si>
  <si>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</si>
  <si>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</si>
  <si>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</si>
  <si>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</si>
  <si>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</si>
  <si>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</si>
  <si>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</si>
  <si>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</si>
  <si>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</si>
  <si>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</si>
  <si>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</si>
  <si>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</si>
  <si>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</si>
  <si>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</si>
  <si>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</si>
  <si>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</si>
  <si>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</si>
  <si>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</si>
  <si>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</si>
  <si>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</si>
  <si>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</si>
  <si>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</si>
  <si>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</si>
  <si>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</si>
  <si>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</si>
  <si>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</si>
  <si>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</si>
  <si>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</si>
  <si>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</si>
  <si>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</si>
  <si>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</si>
  <si>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</si>
  <si>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</si>
  <si>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</si>
  <si>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</si>
  <si>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</si>
  <si>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</si>
  <si>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</si>
  <si>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</si>
  <si>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</si>
  <si>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</si>
  <si>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</si>
  <si>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</si>
  <si>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</si>
  <si>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</si>
  <si>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</si>
  <si>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</si>
  <si>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</si>
  <si>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</si>
  <si>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</si>
  <si>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</si>
  <si>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</si>
  <si>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</si>
  <si>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</si>
  <si>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</si>
  <si>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</si>
  <si>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</si>
  <si>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</si>
  <si>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</si>
  <si>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</si>
  <si>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</si>
  <si>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</si>
  <si>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</si>
  <si>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</si>
  <si>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</si>
  <si>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</si>
  <si>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</si>
  <si>
    <t>Naked-pair-column step exposes structured action fields</t>
  </si>
  <si>
    <t>Structured naked-pair-column apply ignores wording</t>
  </si>
  <si>
    <t>Pair digits and target remove 4/7 from R7C6</t>
  </si>
  <si>
    <t>Naked-pair-column public wording remains compatible</t>
  </si>
  <si>
    <t>Three matching column pairs do not form a naked pair</t>
  </si>
  <si>
    <t>Existing naked-pair-box wording maps off-diagonal cells</t>
  </si>
  <si>
    <t>Pair sources and target are mapped in row order</t>
  </si>
  <si>
    <t>Naked-pair-box step exposes structured action fields</t>
  </si>
  <si>
    <t>Off-diagonal source pair and target stay separate</t>
  </si>
  <si>
    <t>Structured naked-pair-box apply ignores wording</t>
  </si>
  <si>
    <t>Pair digits remove 4/7 from R3C1</t>
  </si>
  <si>
    <t>Naked-pair-box public wording remains compatible</t>
  </si>
  <si>
    <t>Legacy entry returns the structured display field</t>
  </si>
  <si>
    <t>Three matching box pairs do not form a naked pair</t>
  </si>
  <si>
    <t>Exactly two matching box cells are required</t>
  </si>
  <si>
    <t>Naked-pair-box step preserves middle-box identity</t>
  </si>
  <si>
    <t>Box 5 maps off-diagonal pair to R6C4</t>
  </si>
  <si>
    <t>Chain uses box elimination before the next assignment</t>
  </si>
  <si>
    <t>Box pair removes 4/7 then reveals R3C1=8</t>
  </si>
  <si>
    <t>Chain reports limit with pending elimination</t>
  </si>
  <si>
    <t>Zero budget preserves candidates and pending box hint</t>
  </si>
  <si>
    <t>Chain reports stable without applicable strategy</t>
  </si>
  <si>
    <t>Full candidate matrix has no assignment or elimination</t>
  </si>
  <si>
    <t>Chain reports contradiction for a dead cell</t>
  </si>
  <si>
    <t>Empty R1C1 candidate stops before hint or elimination</t>
  </si>
  <si>
    <t>Chain rebuilds candidates and hint after entry removal</t>
  </si>
  <si>
    <t>R8C3 entry yields STABLE; blank board replays original assignment</t>
  </si>
  <si>
    <t>Wrong entry stops guidance and removal restores the chain</t>
  </si>
  <si>
    <t>Duplicate 1 flags both cells; clean board returns the original assignment</t>
  </si>
  <si>
    <t>Chain enforces the eight-step boundary</t>
  </si>
  <si>
    <t>Nine pointing patterns execute eight steps then retain the ninth as pending</t>
  </si>
  <si>
    <t>Prototype Candidate Chain</t>
  </si>
  <si>
    <t>Published engines use player-safe Coach paths</t>
  </si>
  <si>
    <t>Candidate Chain</t>
  </si>
  <si>
    <t>Easy standard wrapper plus Medium, Hard, Expert, and Master chain fallback contracts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</si>
</sst>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CC495D-41B9-7E46-A267-65DF3721832B}">
  <we:reference id="wa200010215" version="2.0.0.1" store="en-US" storeType="OMEX"/>
  <we:alternateReferences>
    <we:reference id="wa200010215" version="2.0.0.1" store="" storeType="OMEX"/>
  </we:alternateReferences>
  <we:properties>
    <we:property name="bps.codex_control.document_id" value="&quot;0c4a3077-fb42-4288-8e29-294003ec3652&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131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202"/>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698</v>
      </c>
      <c r="B145" t="s">
        <v>700</v>
      </c>
      <c r="C145" t="b">
        <v>1</v>
      </c>
      <c r="D145" t="b">
        <f ca="1">AND(ISNUMBER(SEARCH("SDK_PlayerHint",_xlfn.FORMULATEXT(_Engine!$B$88))),ISNUMBER(SEARCH("$L$111=""ASSIGNMENT""",_xlfn.FORMULATEXT('_Engine Medium'!$B$88))),ISNUMBER(SEARCH("SDK_FallbackReveal",_xlfn.FORMULATEXT('_Engine Medium'!$B$88))),ISNUMBER(SEARCH("$L$111=""ASSIGNMENT""",_xlfn.FORMULATEXT('_Engine Hard'!$B$88))),ISNUMBER(SEARCH("SDK_FallbackReveal",_xlfn.FORMULATEXT('_Engine Hard'!$B$88))),ISNUMBER(SEARCH("$L$111=""ASSIGNMENT""",_xlfn.FORMULATEXT('_Engine Expert'!$B$88))),ISNUMBER(SEARCH("SDK_FallbackReveal",_xlfn.FORMULATEXT('_Engine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627</v>
      </c>
    </row>
    <row r="165" spans="1:5">
      <c r="A165" t="s">
        <v>628</v>
      </c>
      <c r="B165" t="s">
        <v>629</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202" si="8">IF(D165=C165,"PASS","FAIL")</f>
        <v>PASS</v>
      </c>
    </row>
    <row r="166" spans="1:5">
      <c r="A166" t="s">
        <v>630</v>
      </c>
      <c r="B166" t="s">
        <v>631</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632</v>
      </c>
      <c r="B167" t="s">
        <v>633</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634</v>
      </c>
      <c r="B168" t="s">
        <v>629</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635</v>
      </c>
      <c r="B169" t="s">
        <v>636</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637</v>
      </c>
      <c r="B170" t="s">
        <v>638</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639</v>
      </c>
      <c r="B171" t="s">
        <v>640</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641</v>
      </c>
      <c r="B172" t="s">
        <v>642</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643</v>
      </c>
      <c r="B173" t="s">
        <v>644</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645</v>
      </c>
      <c r="B174" t="s">
        <v>646</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647</v>
      </c>
      <c r="B175" t="s">
        <v>648</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649</v>
      </c>
      <c r="B176" t="s">
        <v>629</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650</v>
      </c>
      <c r="B177" t="s">
        <v>651</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652</v>
      </c>
      <c r="B178" t="s">
        <v>653</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654</v>
      </c>
      <c r="B179" t="s">
        <v>629</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 t="shared" si="8"/>
        <v>PASS</v>
      </c>
    </row>
    <row r="180" spans="1:5">
      <c r="A180" t="s">
        <v>655</v>
      </c>
      <c r="B180" t="s">
        <v>656</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 t="shared" si="8"/>
        <v>PASS</v>
      </c>
    </row>
    <row r="181" spans="1:5">
      <c r="A181" t="s">
        <v>657</v>
      </c>
      <c r="B181" t="s">
        <v>653</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 t="shared" si="8"/>
        <v>PASS</v>
      </c>
    </row>
    <row r="182" spans="1:5">
      <c r="A182" t="s">
        <v>658</v>
      </c>
      <c r="B182" t="s">
        <v>659</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 t="shared" si="8"/>
        <v>PASS</v>
      </c>
    </row>
    <row r="183" spans="1:5">
      <c r="A183" t="s">
        <v>660</v>
      </c>
      <c r="B183" t="s">
        <v>661</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 t="shared" si="8"/>
        <v>PASS</v>
      </c>
    </row>
    <row r="184" spans="1:5">
      <c r="A184" t="s">
        <v>662</v>
      </c>
      <c r="B184" t="s">
        <v>663</v>
      </c>
      <c r="C184" t="b">
        <v>1</v>
      </c>
      <c r="D184" t="b" cm="1">
        <f t="array" ref="D184">IFERROR(_xlfn.LET(_xlpm.c,_xlfn.MAKEARRAY(9,9,_xlfn.LAMBDA(_xlpm.r,_xlpm.k,_xlfn.IFS(AND(_xlpm.r=4,OR(_xlpm.k=2,_xlpm.k=5)),"47",AND(_xlpm.r=4,_xlpm.k=7),"478",_xlpm.r=4,"1235689",TRUE,"123456789"))),SDKP_NakedPairRow(_xlpm.c)=INDEX(SDKP_NakedPairRowStep(_xlpm.c),1,5)),FALSE)</f>
        <v>1</v>
      </c>
      <c r="E184" t="str">
        <f t="shared" si="8"/>
        <v>PASS</v>
      </c>
    </row>
    <row r="185" spans="1:5">
      <c r="A185" t="s">
        <v>664</v>
      </c>
      <c r="B185" t="s">
        <v>665</v>
      </c>
      <c r="C185" t="b">
        <v>1</v>
      </c>
      <c r="D185" t="b" cm="1">
        <f t="array" ref="D185">IFERROR(_xlfn.LET(_xlpm.c,_xlfn.MAKEARRAY(9,9,_xlfn.LAMBDA(_xlpm.r,_xlpm.k,_xlfn.IFS(AND(_xlpm.r=4,OR(_xlpm.k=2,_xlpm.k=5,_xlpm.k=8)),"47",AND(_xlpm.r=4,_xlpm.k=7),"478",_xlpm.r=4,"1235689",TRUE,"123456789"))),_xlpm.s,SDKP_NakedPairRowStep(_xlpm.c),SUM(--(_xlpm.s=""))=5),FALSE)</f>
        <v>1</v>
      </c>
      <c r="E185" t="str">
        <f t="shared" si="8"/>
        <v>PASS</v>
      </c>
    </row>
    <row r="186" spans="1:5">
      <c r="A186" t="s">
        <v>666</v>
      </c>
      <c r="B186" t="s">
        <v>659</v>
      </c>
      <c r="C186" t="b">
        <f>TRUE()</f>
        <v>1</v>
      </c>
      <c r="D186" t="b" cm="1">
        <f t="array" ref="D186">IFERROR(_xlfn.LET(_xlpm.c,_xlfn.MAKEARRAY(9,9,_xlfn.LAMBDA(_xlpm.r,_xlpm.k,_xlfn.IFS(AND(_xlpm.k=6,OR(_xlpm.r=2,_xlpm.r=5)),"47",AND(_xlpm.r=7,_xlpm.k=6),"478",_xlpm.k=6,"1235689",TRUE,"123456789"))),_xlpm.s,SDKP_NakedPairColStep(_xlpm.c),SUM(--_xlfn.HSTACK(INDEX(_xlpm.s,1,1)="Naked pair in column",INDEX(_xlpm.s,1,2)="R2C6, R5C6",INDEX(_xlpm.s,1,3)="47",INDEX(_xlpm.s,1,4)="R7C6",INDEX(_xlpm.s,1,5)="Naked pair in column · R2C6 and R5C6 contain only 4/7 · Remove 4 and 7 from R7C6."))=5),FALSE)</f>
        <v>1</v>
      </c>
      <c r="E186" t="str">
        <f t="shared" si="8"/>
        <v>PASS</v>
      </c>
    </row>
    <row r="187" spans="1:5">
      <c r="A187" t="s">
        <v>667</v>
      </c>
      <c r="B187" t="s">
        <v>668</v>
      </c>
      <c r="C187" t="b">
        <f>TRUE()</f>
        <v>1</v>
      </c>
      <c r="D187" t="b" cm="1">
        <f t="array" ref="D187">IFERROR(_xlfn.LET(_xlpm.c,_xlfn.MAKEARRAY(9,9,_xlfn.LAMBDA(_xlpm.r,_xlpm.k,_xlfn.IFS(AND(_xlpm.k=6,OR(_xlpm.r=2,_xlpm.r=5)),"47",AND(_xlpm.r=7,_xlpm.k=6),"478",_xlpm.k=6,"1235689",TRUE,"123456789"))),_xlpm.s,SDKP_NakedPairColStep(_xlpm.c),_xlpm.t,_xlfn.HSTACK(INDEX(_xlpm.s,1,1),INDEX(_xlpm.s,1,2),INDEX(_xlpm.s,1,3),INDEX(_xlpm.s,1,4),"wording may change"),_xlpm.after,SDKP_ApplyStep(_xlpm.c,_xlpm.t),AND(INDEX(_xlpm.after,7,6)="8",INDEX(_xlpm.after,2,6)="47")),FALSE)</f>
        <v>1</v>
      </c>
      <c r="E187" t="str">
        <f t="shared" si="8"/>
        <v>PASS</v>
      </c>
    </row>
    <row r="188" spans="1:5">
      <c r="A188" t="s">
        <v>669</v>
      </c>
      <c r="B188" t="s">
        <v>663</v>
      </c>
      <c r="C188" t="b">
        <f>TRUE()</f>
        <v>1</v>
      </c>
      <c r="D188" t="b" cm="1">
        <f t="array" ref="D188">IFERROR(_xlfn.LET(_xlpm.c,_xlfn.MAKEARRAY(9,9,_xlfn.LAMBDA(_xlpm.r,_xlpm.k,_xlfn.IFS(AND(_xlpm.k=6,OR(_xlpm.r=2,_xlpm.r=5)),"47",AND(_xlpm.r=7,_xlpm.k=6),"478",_xlpm.k=6,"1235689",TRUE,"123456789"))),SDKP_NakedPairCol(_xlpm.c)=INDEX(SDKP_NakedPairColStep(_xlpm.c),1,5)),FALSE)</f>
        <v>1</v>
      </c>
      <c r="E188" t="str">
        <f t="shared" si="8"/>
        <v>PASS</v>
      </c>
    </row>
    <row r="189" spans="1:5">
      <c r="A189" t="s">
        <v>670</v>
      </c>
      <c r="B189" t="s">
        <v>665</v>
      </c>
      <c r="C189" t="b">
        <f>TRUE()</f>
        <v>1</v>
      </c>
      <c r="D189" t="b" cm="1">
        <f t="array" ref="D189">IFERROR(_xlfn.LET(_xlpm.c,_xlfn.MAKEARRAY(9,9,_xlfn.LAMBDA(_xlpm.r,_xlpm.k,_xlfn.IFS(AND(_xlpm.k=6,OR(_xlpm.r=2,_xlpm.r=5,_xlpm.r=8)),"47",AND(_xlpm.r=7,_xlpm.k=6),"478",_xlpm.k=6,"1235689",TRUE,"123456789"))),_xlpm.s,SDKP_NakedPairColStep(_xlpm.c),SUM(--(_xlpm.s=""))=5),FALSE)</f>
        <v>1</v>
      </c>
      <c r="E189" t="str">
        <f t="shared" si="8"/>
        <v>PASS</v>
      </c>
    </row>
    <row r="190" spans="1:5">
      <c r="A190" t="s">
        <v>671</v>
      </c>
      <c r="B190" t="s">
        <v>672</v>
      </c>
      <c r="C190" t="b">
        <f>TRUE()</f>
        <v>1</v>
      </c>
      <c r="D190" t="b" cm="1">
        <f t="array" ref="D190">IFERROR(_xlfn.LET(_xlpm.c,_xlfn.MAKEARRAY(9,9,_xlfn.LAMBDA(_xlpm.r,_xlpm.k,_xlfn.IFS(AND(_xlpm.r=1,_xlpm.k=2),"47",AND(_xlpm.r=2,_xlpm.k=3),"47",AND(_xlpm.r=3,_xlpm.k=1),"478",AND(_xlpm.r&lt;=3,_xlpm.k&lt;=3),"1235689",TRUE,"123456789"))),SDKP_NakedPairBox(_xlpm.c)="Naked pair in box · R1C2 and R2C3 contain only 4/7 in box 1 · Remove 4 and 7 from R3C1."),FALSE)</f>
        <v>1</v>
      </c>
      <c r="E190" t="str">
        <f t="shared" si="8"/>
        <v>PASS</v>
      </c>
    </row>
    <row r="191" spans="1:5">
      <c r="A191" t="s">
        <v>673</v>
      </c>
      <c r="B191" t="s">
        <v>674</v>
      </c>
      <c r="C191" t="b">
        <f>TRUE()</f>
        <v>1</v>
      </c>
      <c r="D191" t="b" cm="1">
        <f t="array" ref="D191">IFERROR(_xlfn.LET(_xlpm.c,_xlfn.MAKEARRAY(9,9,_xlfn.LAMBDA(_xlpm.r,_xlpm.k,_xlfn.IFS(AND(_xlpm.r=1,_xlpm.k=2),"47",AND(_xlpm.r=2,_xlpm.k=3),"47",AND(_xlpm.r=3,_xlpm.k=1),"478",AND(_xlpm.r&lt;=3,_xlpm.k&lt;=3),"1235689",TRUE,"123456789"))),_xlpm.s,SDKP_NakedPairBoxStep(_xlpm.c),SUM(--_xlfn.HSTACK(INDEX(_xlpm.s,1,1)="Naked pair in box",INDEX(_xlpm.s,1,2)="R1C2, R2C3",INDEX(_xlpm.s,1,3)="47",INDEX(_xlpm.s,1,4)="R3C1",INDEX(_xlpm.s,1,5)="Naked pair in box · R1C2 and R2C3 contain only 4/7 in box 1 · Remove 4 and 7 from R3C1."))=5),FALSE)</f>
        <v>1</v>
      </c>
      <c r="E191" t="str">
        <f t="shared" si="8"/>
        <v>PASS</v>
      </c>
    </row>
    <row r="192" spans="1:5">
      <c r="A192" t="s">
        <v>675</v>
      </c>
      <c r="B192" t="s">
        <v>676</v>
      </c>
      <c r="C192" t="b">
        <f>TRUE()</f>
        <v>1</v>
      </c>
      <c r="D192" t="b" cm="1">
        <f t="array" ref="D192">IFERROR(_xlfn.LET(_xlpm.c,_xlfn.MAKEARRAY(9,9,_xlfn.LAMBDA(_xlpm.r,_xlpm.k,_xlfn.IFS(AND(_xlpm.r=1,_xlpm.k=2),"47",AND(_xlpm.r=2,_xlpm.k=3),"47",AND(_xlpm.r=3,_xlpm.k=1),"478",AND(_xlpm.r&lt;=3,_xlpm.k&lt;=3),"1235689",TRUE,"123456789"))),_xlpm.s,SDKP_NakedPairBoxStep(_xlpm.c),_xlpm.action,_xlfn.HSTACK(INDEX(_xlpm.s,1,1),INDEX(_xlpm.s,1,2),INDEX(_xlpm.s,1,3),INDEX(_xlpm.s,1,4),"wording may change"),_xlpm.after,SDKP_ApplyStep(_xlpm.c,_xlpm.action),AND(INDEX(_xlpm.after,3,1)="8",INDEX(_xlpm.after,1,2)="47",INDEX(_xlpm.after,2,3)="47")),FALSE)</f>
        <v>1</v>
      </c>
      <c r="E192" t="str">
        <f t="shared" si="8"/>
        <v>PASS</v>
      </c>
    </row>
    <row r="193" spans="1:5">
      <c r="A193" t="s">
        <v>677</v>
      </c>
      <c r="B193" t="s">
        <v>678</v>
      </c>
      <c r="C193" t="b">
        <f>TRUE()</f>
        <v>1</v>
      </c>
      <c r="D193" t="b" cm="1">
        <f t="array" ref="D193">IFERROR(_xlfn.LET(_xlpm.c,_xlfn.MAKEARRAY(9,9,_xlfn.LAMBDA(_xlpm.r,_xlpm.k,_xlfn.IFS(AND(_xlpm.r=1,_xlpm.k=2),"47",AND(_xlpm.r=2,_xlpm.k=3),"47",AND(_xlpm.r=3,_xlpm.k=1),"478",AND(_xlpm.r&lt;=3,_xlpm.k&lt;=3),"1235689",TRUE,"123456789"))),SDKP_NakedPairBox(_xlpm.c)=INDEX(SDKP_NakedPairBoxStep(_xlpm.c),1,5)),FALSE)</f>
        <v>1</v>
      </c>
      <c r="E193" t="str">
        <f t="shared" si="8"/>
        <v>PASS</v>
      </c>
    </row>
    <row r="194" spans="1:5">
      <c r="A194" t="s">
        <v>679</v>
      </c>
      <c r="B194" t="s">
        <v>680</v>
      </c>
      <c r="C194" t="b">
        <f>TRUE()</f>
        <v>1</v>
      </c>
      <c r="D194" t="b" cm="1">
        <f t="array" ref="D194">IFERROR(_xlfn.LET(_xlpm.c,_xlfn.MAKEARRAY(9,9,_xlfn.LAMBDA(_xlpm.r,_xlpm.k,_xlfn.IFS(AND(_xlpm.r=1,_xlpm.k=2),"47",AND(_xlpm.r=2,_xlpm.k=3),"47",AND(_xlpm.r=3,_xlpm.k=3),"47",AND(_xlpm.r=3,_xlpm.k=1),"478",AND(_xlpm.r&lt;=3,_xlpm.k&lt;=3),"1235689",TRUE,"123456789"))),_xlpm.s,SDKP_NakedPairBoxStep(_xlpm.c),SUM(--(_xlpm.s=""))=5),FALSE)</f>
        <v>1</v>
      </c>
      <c r="E194" t="str">
        <f t="shared" si="8"/>
        <v>PASS</v>
      </c>
    </row>
    <row r="195" spans="1:5">
      <c r="A195" t="s">
        <v>681</v>
      </c>
      <c r="B195" t="s">
        <v>682</v>
      </c>
      <c r="C195" t="b">
        <f>TRUE()</f>
        <v>1</v>
      </c>
      <c r="D195" t="b" cm="1">
        <f t="array" ref="D195">IFERROR(_xlfn.LET(_xlpm.c,_xlfn.MAKEARRAY(9,9,_xlfn.LAMBDA(_xlpm.r,_xlpm.k,_xlfn.IFS(AND(_xlpm.r=4,_xlpm.k=5),"47",AND(_xlpm.r=5,_xlpm.k=6),"47",AND(_xlpm.r=6,_xlpm.k=4),"478",AND(_xlpm.r&gt;=4,_xlpm.r&lt;=6,_xlpm.k&gt;=4,_xlpm.k&lt;=6),"1235689",TRUE,"123456789"))),_xlpm.s,SDKP_NakedPairBoxStep(_xlpm.c),AND(INDEX(_xlpm.s,1,2)="R4C5, R5C6",INDEX(_xlpm.s,1,4)="R6C4",ISNUMBER(SEARCH("in box 5",INDEX(_xlpm.s,1,5))))),FALSE)</f>
        <v>1</v>
      </c>
      <c r="E195" t="str">
        <f t="shared" si="8"/>
        <v>PASS</v>
      </c>
    </row>
    <row r="196" spans="1:5">
      <c r="A196" t="s">
        <v>683</v>
      </c>
      <c r="B196" t="s">
        <v>684</v>
      </c>
      <c r="C196" t="b">
        <f>TRUE()</f>
        <v>1</v>
      </c>
      <c r="D196" t="b" cm="1">
        <f t="array" ref="D196">IFERROR(_xlfn.LET(_xlpm.board,_xlfn.MAKEARRAY(9,9,_xlfn.LAMBDA(_xlpm.r,_xlpm.k,"")),_xlpm.c,_xlfn.MAKEARRAY(9,9,_xlfn.LAMBDA(_xlpm.r,_xlpm.k,_xlfn.IFS(AND(_xlpm.r=1,_xlpm.k=2),"47",AND(_xlpm.r=2,_xlpm.k=3),"47",AND(_xlpm.r=3,_xlpm.k=1),"478",AND(_xlpm.r&lt;=3,_xlpm.k&lt;=3),"1235689",TRUE,"123456789"))),_xlpm.result,SDKP_ChainLoop(_xlpm.board,_xlpm.c,0,1,""),AND(INDEX(_xlpm.result,10,1)="ASSIGNMENT",INDEX(_xlpm.result,3,1)="8",ISNUMBER(SEARCH("Naked pair in box",INDEX(_xlpm.result,10,5))))),FALSE)</f>
        <v>1</v>
      </c>
      <c r="E196" t="str">
        <f t="shared" si="8"/>
        <v>PASS</v>
      </c>
    </row>
    <row r="197" spans="1:5">
      <c r="A197" t="s">
        <v>685</v>
      </c>
      <c r="B197" t="s">
        <v>686</v>
      </c>
      <c r="C197" t="b">
        <f>TRUE()</f>
        <v>1</v>
      </c>
      <c r="D197" t="b" cm="1">
        <f t="array" ref="D197">IFERROR(_xlfn.LET(_xlpm.board,_xlfn.MAKEARRAY(9,9,_xlfn.LAMBDA(_xlpm.r,_xlpm.k,"")),_xlpm.c,_xlfn.MAKEARRAY(9,9,_xlfn.LAMBDA(_xlpm.r,_xlpm.k,_xlfn.IFS(AND(_xlpm.r=1,_xlpm.k=2),"47",AND(_xlpm.r=2,_xlpm.k=3),"47",AND(_xlpm.r=3,_xlpm.k=1),"478",AND(_xlpm.r&lt;=3,_xlpm.k&lt;=3),"1235689",TRUE,"123456789"))),_xlpm.result,SDKP_ChainLoop(_xlpm.board,_xlpm.c,0,0,""),AND(INDEX(_xlpm.result,10,1)="LIMIT",INDEX(_xlpm.result,10,2)=0,INDEX(_xlpm.result,3,1)="478",ISNUMBER(SEARCH("Naked pair in box",INDEX(_xlpm.result,10,4))),INDEX(_xlpm.result,10,5)="")),FALSE)</f>
        <v>1</v>
      </c>
      <c r="E197" t="str">
        <f t="shared" si="8"/>
        <v>PASS</v>
      </c>
    </row>
    <row r="198" spans="1:5">
      <c r="A198" t="s">
        <v>687</v>
      </c>
      <c r="B198" t="s">
        <v>688</v>
      </c>
      <c r="C198" t="b">
        <f>TRUE()</f>
        <v>1</v>
      </c>
      <c r="D198" t="b">
        <f>IFERROR(_xlfn.LET(_xlpm.board,_xlfn.MAKEARRAY(9,9,_xlfn.LAMBDA(_xlpm.r,_xlpm.k,"")),_xlpm.c,_xlfn.MAKEARRAY(9,9,_xlfn.LAMBDA(_xlpm.r,_xlpm.k,"123456789")),_xlpm.result,SDKP_ChainLoop(_xlpm.board,_xlpm.c,0,2,""),AND(INDEX(_xlpm.result,10,1)="STABLE",INDEX(_xlpm.result,10,2)=0,INDEX(_xlpm.result,1,1)="123456789",INDEX(_xlpm.result,10,3)="",INDEX(_xlpm.result,10,4)="",INDEX(_xlpm.result,10,5)="")),FALSE)</f>
        <v>1</v>
      </c>
      <c r="E198" t="str">
        <f t="shared" si="8"/>
        <v>PASS</v>
      </c>
    </row>
    <row r="199" spans="1:5">
      <c r="A199" t="s">
        <v>689</v>
      </c>
      <c r="B199" t="s">
        <v>690</v>
      </c>
      <c r="C199" t="b">
        <f>TRUE()</f>
        <v>1</v>
      </c>
      <c r="D199" t="b" cm="1">
        <f t="array" ref="D199">IFERROR(_xlfn.LET(_xlpm.board,_xlfn.MAKEARRAY(9,9,_xlfn.LAMBDA(_xlpm.r,_xlpm.k,"")),_xlpm.c,_xlfn.MAKEARRAY(9,9,_xlfn.LAMBDA(_xlpm.r,_xlpm.k,IF(AND(_xlpm.r=1,_xlpm.k=1),"","123456789"))),_xlpm.result,SDKP_ChainLoop(_xlpm.board,_xlpm.c,0,2,""),AND(INDEX(_xlpm.result,10,1)="CONTRADICTION",INDEX(_xlpm.result,10,2)=0,INDEX(_xlpm.result,1,1)="",INDEX(_xlpm.result,10,3)="",INDEX(_xlpm.result,10,4)="",INDEX(_xlpm.result,10,5)="")),FALSE)</f>
        <v>1</v>
      </c>
      <c r="E199" t="str">
        <f t="shared" si="8"/>
        <v>PASS</v>
      </c>
    </row>
    <row r="200" spans="1:5">
      <c r="A200" t="s">
        <v>691</v>
      </c>
      <c r="B200" t="s">
        <v>692</v>
      </c>
      <c r="C200" t="b">
        <f>TRUE()</f>
        <v>1</v>
      </c>
      <c r="D200" t="b">
        <f>IFERROR(_xlfn.LET(_xlpm.board,'_Engine Master'!$B$27:$J$35,_xlpm.entered,SDK_SetCell(_xlpm.board,8,3,1),_xlpm.afterEntry,SDKP_Chain(_xlpm.entered,8),_xlpm.afterDelete,SDKP_Chain(_xlpm.board,8),AND(INDEX(_xlpm.afterEntry,10,1)="STABLE",INDEX(_xlpm.afterEntry,8,3)="",INDEX(_xlpm.afterEntry,10,3)="",INDEX(_xlpm.afterDelete,10,1)="ASSIGNMENT",INDEX(_xlpm.afterDelete,10,2)=0,INDEX(_xlpm.afterDelete,8,3)="1268",INDEX(_xlpm.afterDelete,10,3)="Hidden single in column · R8C3 = 1 · Digit 1 appears in only one candidate set in column 3.")),FALSE)</f>
        <v>1</v>
      </c>
      <c r="E200" t="str">
        <f t="shared" si="8"/>
        <v>PASS</v>
      </c>
    </row>
    <row r="201" spans="1:5">
      <c r="A201" t="s">
        <v>693</v>
      </c>
      <c r="B201" t="s">
        <v>694</v>
      </c>
      <c r="C201" t="b">
        <f>TRUE()</f>
        <v>1</v>
      </c>
      <c r="D201" t="b" cm="1">
        <f t="array" ref="D201">IFERROR(_xlfn.LET(_xlpm.board,'_Engine Master'!$B$27:$J$35,_xlpm.wrong,SDK_SetCell(_xlpm.board,2,1,1),_xlpm.wrongChain,SDKP_Chain(_xlpm.wrong,8),_xlpm.recovered,SDKP_Chain(_xlpm.board,8),_xlpm.wrongConflicts,SUM(--_xlfn.MAKEARRAY(9,9,_xlfn.LAMBDA(_xlpm.r,_xlpm.k,SDK_Conflict(_xlpm.wrong,_xlpm.r,_xlpm.k)))),_xlpm.cleanConflicts,SUM(--_xlfn.MAKEARRAY(9,9,_xlfn.LAMBDA(_xlpm.r,_xlpm.k,SDK_Conflict(_xlpm.board,_xlpm.r,_xlpm.k)))),AND(_xlpm.wrongConflicts=2,SDK_Conflict(_xlpm.wrong,1,1),SDK_Conflict(_xlpm.wrong,2,1),INDEX(_xlpm.wrongChain,10,1)="CONTRADICTION",INDEX(_xlpm.wrongChain,10,2)=0,_xlpm.cleanConflicts=0,INDEX(_xlpm.recovered,10,1)="ASSIGNMENT",INDEX(_xlpm.recovered,2,1)="457",INDEX(_xlpm.recovered,10,3)="Hidden single in column · R8C3 = 1 · Digit 1 appears in only one candidate set in column 3.")),FALSE)</f>
        <v>1</v>
      </c>
      <c r="E201" t="str">
        <f t="shared" si="8"/>
        <v>PASS</v>
      </c>
    </row>
    <row r="202" spans="1:5">
      <c r="A202" t="s">
        <v>695</v>
      </c>
      <c r="B202" t="s">
        <v>696</v>
      </c>
      <c r="C202" t="b">
        <f>TRUE()</f>
        <v>1</v>
      </c>
      <c r="D202" t="b" cm="1">
        <f t="array" ref="D202">IFERROR(_xlfn.LET(_xlpm.board,_xlfn.MAKEARRAY(9,9,_xlfn.LAMBDA(_xlpm.r,_xlpm.k,"")),_xlpm.digits,_xlfn.SEQUENCE(9),_xlpm.c,_xlfn.MAKEARRAY(9,9,_xlfn.LAMBDA(_xlpm.r,_xlpm.k,_xlfn.LET(_xlpm.b,1+3*QUOTIENT(_xlpm.r-1,3),_xlfn.TEXTJOIN("",TRUE,_xlfn._xlws.FILTER(_xlpm.digits,NOT((_xlpm.k&lt;=3)*(_xlpm.digits&gt;=_xlpm.b)*(_xlpm.digits&lt;=_xlpm.b+2)*(_xlpm.digits&lt;&gt;_xlpm.r))))))),_xlpm.result,SDKP_ChainLoop(_xlpm.board,_xlpm.c,0,8,""),_xlpm.log,INDEX(_xlpm.result,10,5),AND(INDEX(_xlpm.result,10,1)="LIMIT",INDEX(_xlpm.result,10,2)=8,INDEX(_xlpm.result,1,4)="23456789",INDEX(_xlpm.result,8,4)="12345679",INDEX(_xlpm.result,9,4)="123456789",ISNUMBER(SEARCH("Pointing row",INDEX(_xlpm.result,10,4))),LEN(_xlpm.log)-LEN(SUBSTITUTE(_xlpm.log,CHAR(10),""))+1=8)),FALSE)</f>
        <v>1</v>
      </c>
      <c r="E202" t="str">
        <f t="shared" si="8"/>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345</v>
      </c>
      <c r="C15" s="3" t="str" cm="1">
        <f t="array" ref="C15">INDEX($L$102:$T$110,ROW()-14,COLUMN()-1)</f>
        <v>3</v>
      </c>
      <c r="D15" s="3" t="str" cm="1">
        <f t="array" ref="D15">INDEX($L$102:$T$110,ROW()-14,COLUMN()-1)</f>
        <v>5</v>
      </c>
      <c r="E15" s="3" t="str" cm="1">
        <f t="array" ref="E15">INDEX($L$102:$T$110,ROW()-14,COLUMN()-1)</f>
        <v/>
      </c>
      <c r="F15" s="3" t="str" cm="1">
        <f t="array" ref="F15">INDEX($L$102:$T$110,ROW()-14,COLUMN()-1)</f>
        <v/>
      </c>
      <c r="G15" s="3" t="str" cm="1">
        <f t="array" ref="G15">INDEX($L$102:$T$110,ROW()-14,COLUMN()-1)</f>
        <v>59</v>
      </c>
      <c r="H15" s="3" t="str" cm="1">
        <f t="array" ref="H15">INDEX($L$102:$T$110,ROW()-14,COLUMN()-1)</f>
        <v/>
      </c>
      <c r="I15" s="3" t="str" cm="1">
        <f t="array" ref="I15">INDEX($L$102:$T$110,ROW()-14,COLUMN()-1)</f>
        <v>8</v>
      </c>
      <c r="J15" s="3" t="str" cm="1">
        <f t="array" ref="J15">INDEX($L$102:$T$110,ROW()-14,COLUMN()-1)</f>
        <v/>
      </c>
    </row>
    <row r="16" spans="1:10">
      <c r="A16" s="3"/>
      <c r="B16" s="3" t="str" cm="1">
        <f t="array" ref="B16">INDEX($L$102:$T$110,ROW()-14,COLUMN()-1)</f>
        <v/>
      </c>
      <c r="C16" s="3" t="str" cm="1">
        <f t="array" ref="C16">INDEX($L$102:$T$110,ROW()-14,COLUMN()-1)</f>
        <v/>
      </c>
      <c r="D16" s="3" t="str" cm="1">
        <f t="array" ref="D16">INDEX($L$102:$T$110,ROW()-14,COLUMN()-1)</f>
        <v>25</v>
      </c>
      <c r="E16" s="3" t="str" cm="1">
        <f t="array" ref="E16">INDEX($L$102:$T$110,ROW()-14,COLUMN()-1)</f>
        <v>5</v>
      </c>
      <c r="F16" s="3" t="str" cm="1">
        <f t="array" ref="F16">INDEX($L$102:$T$110,ROW()-14,COLUMN()-1)</f>
        <v/>
      </c>
      <c r="G16" s="3" t="str" cm="1">
        <f t="array" ref="G16">INDEX($L$102:$T$110,ROW()-14,COLUMN()-1)</f>
        <v>15</v>
      </c>
      <c r="H16" s="3" t="str" cm="1">
        <f t="array" ref="H16">INDEX($L$102:$T$110,ROW()-14,COLUMN()-1)</f>
        <v>234</v>
      </c>
      <c r="I16" s="3" t="str" cm="1">
        <f t="array" ref="I16">INDEX($L$102:$T$110,ROW()-14,COLUMN()-1)</f>
        <v/>
      </c>
      <c r="J16" s="3" t="str" cm="1">
        <f t="array" ref="J16">INDEX($L$102:$T$110,ROW()-14,COLUMN()-1)</f>
        <v>23</v>
      </c>
    </row>
    <row r="17" spans="1:10">
      <c r="A17" s="3"/>
      <c r="B17" s="3" t="str" cm="1">
        <f t="array" ref="B17">INDEX($L$102:$T$110,ROW()-14,COLUMN()-1)</f>
        <v/>
      </c>
      <c r="C17" s="3" t="str" cm="1">
        <f t="array" ref="C17">INDEX($L$102:$T$110,ROW()-14,COLUMN()-1)</f>
        <v/>
      </c>
      <c r="D17" s="3" t="str" cm="1">
        <f t="array" ref="D17">INDEX($L$102:$T$110,ROW()-14,COLUMN()-1)</f>
        <v>27</v>
      </c>
      <c r="E17" s="3" t="str" cm="1">
        <f t="array" ref="E17">INDEX($L$102:$T$110,ROW()-14,COLUMN()-1)</f>
        <v>8</v>
      </c>
      <c r="F17" s="3" t="str" cm="1">
        <f t="array" ref="F17">INDEX($L$102:$T$110,ROW()-14,COLUMN()-1)</f>
        <v>38</v>
      </c>
      <c r="G17" s="3" t="str" cm="1">
        <f t="array" ref="G17">INDEX($L$102:$T$110,ROW()-14,COLUMN()-1)</f>
        <v/>
      </c>
      <c r="H17" s="3" t="str" cm="1">
        <f t="array" ref="H17">INDEX($L$102:$T$110,ROW()-14,COLUMN()-1)</f>
        <v/>
      </c>
      <c r="I17" s="3" t="str" cm="1">
        <f t="array" ref="I17">INDEX($L$102:$T$110,ROW()-14,COLUMN()-1)</f>
        <v>68</v>
      </c>
      <c r="J17" s="3" t="str" cm="1">
        <f t="array" ref="J17">INDEX($L$102:$T$110,ROW()-14,COLUMN()-1)</f>
        <v>23</v>
      </c>
    </row>
    <row r="18" spans="1:10">
      <c r="A18" s="3"/>
      <c r="B18" s="3" t="str" cm="1">
        <f t="array" ref="B18">INDEX($L$102:$T$110,ROW()-14,COLUMN()-1)</f>
        <v/>
      </c>
      <c r="C18" s="3" t="str" cm="1">
        <f t="array" ref="C18">INDEX($L$102:$T$110,ROW()-14,COLUMN()-1)</f>
        <v/>
      </c>
      <c r="D18" s="3" t="str" cm="1">
        <f t="array" ref="D18">INDEX($L$102:$T$110,ROW()-14,COLUMN()-1)</f>
        <v>67</v>
      </c>
      <c r="E18" s="3" t="str" cm="1">
        <f t="array" ref="E18">INDEX($L$102:$T$110,ROW()-14,COLUMN()-1)</f>
        <v/>
      </c>
      <c r="F18" s="3" t="str" cm="1">
        <f t="array" ref="F18">INDEX($L$102:$T$110,ROW()-14,COLUMN()-1)</f>
        <v>9</v>
      </c>
      <c r="G18" s="3" t="str" cm="1">
        <f t="array" ref="G18">INDEX($L$102:$T$110,ROW()-14,COLUMN()-1)</f>
        <v>579</v>
      </c>
      <c r="H18" s="3" t="str" cm="1">
        <f t="array" ref="H18">INDEX($L$102:$T$110,ROW()-14,COLUMN()-1)</f>
        <v>36</v>
      </c>
      <c r="I18" s="3" t="str" cm="1">
        <f t="array" ref="I18">INDEX($L$102:$T$110,ROW()-14,COLUMN()-1)</f>
        <v/>
      </c>
      <c r="J18" s="3" t="str" cm="1">
        <f t="array" ref="J18">INDEX($L$102:$T$110,ROW()-14,COLUMN()-1)</f>
        <v>357</v>
      </c>
    </row>
    <row r="19" spans="1:10">
      <c r="A19" s="3"/>
      <c r="B19" s="3" t="str" cm="1">
        <f t="array" ref="B19">INDEX($L$102:$T$110,ROW()-14,COLUMN()-1)</f>
        <v>3</v>
      </c>
      <c r="C19" s="3" t="str" cm="1">
        <f t="array" ref="C19">INDEX($L$102:$T$110,ROW()-14,COLUMN()-1)</f>
        <v>137</v>
      </c>
      <c r="D19" s="3" t="str" cm="1">
        <f t="array" ref="D19">INDEX($L$102:$T$110,ROW()-14,COLUMN()-1)</f>
        <v/>
      </c>
      <c r="E19" s="3" t="str" cm="1">
        <f t="array" ref="E19">INDEX($L$102:$T$110,ROW()-14,COLUMN()-1)</f>
        <v/>
      </c>
      <c r="F19" s="3" t="str" cm="1">
        <f t="array" ref="F19">INDEX($L$102:$T$110,ROW()-14,COLUMN()-1)</f>
        <v>8</v>
      </c>
      <c r="G19" s="3" t="str" cm="1">
        <f t="array" ref="G19">INDEX($L$102:$T$110,ROW()-14,COLUMN()-1)</f>
        <v/>
      </c>
      <c r="H19" s="3" t="str" cm="1">
        <f t="array" ref="H19">INDEX($L$102:$T$110,ROW()-14,COLUMN()-1)</f>
        <v/>
      </c>
      <c r="I19" s="3" t="str" cm="1">
        <f t="array" ref="I19">INDEX($L$102:$T$110,ROW()-14,COLUMN()-1)</f>
        <v>15</v>
      </c>
      <c r="J19" s="3" t="str" cm="1">
        <f t="array" ref="J19">INDEX($L$102:$T$110,ROW()-14,COLUMN()-1)</f>
        <v>357</v>
      </c>
    </row>
    <row r="20" spans="1:10">
      <c r="A20" s="3"/>
      <c r="B20" s="3" t="str" cm="1">
        <f t="array" ref="B20">INDEX($L$102:$T$110,ROW()-14,COLUMN()-1)</f>
        <v>9</v>
      </c>
      <c r="C20" s="3" t="str" cm="1">
        <f t="array" ref="C20">INDEX($L$102:$T$110,ROW()-14,COLUMN()-1)</f>
        <v/>
      </c>
      <c r="D20" s="3" t="str" cm="1">
        <f t="array" ref="D20">INDEX($L$102:$T$110,ROW()-14,COLUMN()-1)</f>
        <v>167</v>
      </c>
      <c r="E20" s="3" t="str" cm="1">
        <f t="array" ref="E20">INDEX($L$102:$T$110,ROW()-14,COLUMN()-1)</f>
        <v>479</v>
      </c>
      <c r="F20" s="3" t="str" cm="1">
        <f t="array" ref="F20">INDEX($L$102:$T$110,ROW()-14,COLUMN()-1)</f>
        <v>49</v>
      </c>
      <c r="G20" s="3" t="str" cm="1">
        <f t="array" ref="G20">INDEX($L$102:$T$110,ROW()-14,COLUMN()-1)</f>
        <v/>
      </c>
      <c r="H20" s="3" t="str" cm="1">
        <f t="array" ref="H20">INDEX($L$102:$T$110,ROW()-14,COLUMN()-1)</f>
        <v>16</v>
      </c>
      <c r="I20" s="3" t="str" cm="1">
        <f t="array" ref="I20">INDEX($L$102:$T$110,ROW()-14,COLUMN()-1)</f>
        <v/>
      </c>
      <c r="J20" s="3" t="str" cm="1">
        <f t="array" ref="J20">INDEX($L$102:$T$110,ROW()-14,COLUMN()-1)</f>
        <v/>
      </c>
    </row>
    <row r="21" spans="1:10">
      <c r="A21" s="3"/>
      <c r="B21" s="3" t="str" cm="1">
        <f t="array" ref="B21">INDEX($L$102:$T$110,ROW()-14,COLUMN()-1)</f>
        <v>25</v>
      </c>
      <c r="C21" s="3" t="str" cm="1">
        <f t="array" ref="C21">INDEX($L$102:$T$110,ROW()-14,COLUMN()-1)</f>
        <v>16</v>
      </c>
      <c r="D21" s="3" t="str" cm="1">
        <f t="array" ref="D21">INDEX($L$102:$T$110,ROW()-14,COLUMN()-1)</f>
        <v/>
      </c>
      <c r="E21" s="3" t="str" cm="1">
        <f t="array" ref="E21">INDEX($L$102:$T$110,ROW()-14,COLUMN()-1)</f>
        <v/>
      </c>
      <c r="F21" s="3" t="str" cm="1">
        <f t="array" ref="F21">INDEX($L$102:$T$110,ROW()-14,COLUMN()-1)</f>
        <v>2</v>
      </c>
      <c r="G21" s="3" t="str" cm="1">
        <f t="array" ref="G21">INDEX($L$102:$T$110,ROW()-14,COLUMN()-1)</f>
        <v>6</v>
      </c>
      <c r="H21" s="3" t="str" cm="1">
        <f t="array" ref="H21">INDEX($L$102:$T$110,ROW()-14,COLUMN()-1)</f>
        <v>128</v>
      </c>
      <c r="I21" s="3" t="str" cm="1">
        <f t="array" ref="I21">INDEX($L$102:$T$110,ROW()-14,COLUMN()-1)</f>
        <v/>
      </c>
      <c r="J21" s="3" t="str" cm="1">
        <f t="array" ref="J21">INDEX($L$102:$T$110,ROW()-14,COLUMN()-1)</f>
        <v/>
      </c>
    </row>
    <row r="22" spans="1:10">
      <c r="A22" s="3"/>
      <c r="B22" s="3" t="str" cm="1">
        <f t="array" ref="B22">INDEX($L$102:$T$110,ROW()-14,COLUMN()-1)</f>
        <v>2</v>
      </c>
      <c r="C22" s="3" t="str" cm="1">
        <f t="array" ref="C22">INDEX($L$102:$T$110,ROW()-14,COLUMN()-1)</f>
        <v/>
      </c>
      <c r="D22" s="3" t="str" cm="1">
        <f t="array" ref="D22">INDEX($L$102:$T$110,ROW()-14,COLUMN()-1)</f>
        <v>128</v>
      </c>
      <c r="E22" s="3" t="str" cm="1">
        <f t="array" ref="E22">INDEX($L$102:$T$110,ROW()-14,COLUMN()-1)</f>
        <v>79</v>
      </c>
      <c r="F22" s="3" t="str" cm="1">
        <f t="array" ref="F22">INDEX($L$102:$T$110,ROW()-14,COLUMN()-1)</f>
        <v/>
      </c>
      <c r="G22" s="3" t="str" cm="1">
        <f t="array" ref="G22">INDEX($L$102:$T$110,ROW()-14,COLUMN()-1)</f>
        <v>79</v>
      </c>
      <c r="H22" s="3" t="str" cm="1">
        <f t="array" ref="H22">INDEX($L$102:$T$110,ROW()-14,COLUMN()-1)</f>
        <v>128</v>
      </c>
      <c r="I22" s="3" t="str" cm="1">
        <f t="array" ref="I22">INDEX($L$102:$T$110,ROW()-14,COLUMN()-1)</f>
        <v/>
      </c>
      <c r="J22" s="3" t="str" cm="1">
        <f t="array" ref="J22">INDEX($L$102:$T$110,ROW()-14,COLUMN()-1)</f>
        <v/>
      </c>
    </row>
    <row r="23" spans="1:10">
      <c r="A23" s="3"/>
      <c r="B23" s="3" t="str" cm="1">
        <f t="array" ref="B23">INDEX($L$102:$T$110,ROW()-14,COLUMN()-1)</f>
        <v/>
      </c>
      <c r="C23" s="3" t="str" cm="1">
        <f t="array" ref="C23">INDEX($L$102:$T$110,ROW()-14,COLUMN()-1)</f>
        <v>6</v>
      </c>
      <c r="D23" s="3" t="str" cm="1">
        <f t="array" ref="D23">INDEX($L$102:$T$110,ROW()-14,COLUMN()-1)</f>
        <v/>
      </c>
      <c r="E23" s="3" t="str" cm="1">
        <f t="array" ref="E23">INDEX($L$102:$T$110,ROW()-14,COLUMN()-1)</f>
        <v>49</v>
      </c>
      <c r="F23" s="3" t="str" cm="1">
        <f t="array" ref="F23">INDEX($L$102:$T$110,ROW()-14,COLUMN()-1)</f>
        <v/>
      </c>
      <c r="G23" s="3" t="str" cm="1">
        <f t="array" ref="G23">INDEX($L$102:$T$110,ROW()-14,COLUMN()-1)</f>
        <v/>
      </c>
      <c r="H23" s="3" t="str" cm="1">
        <f t="array" ref="H23">INDEX($L$102:$T$110,ROW()-14,COLUMN()-1)</f>
        <v>2</v>
      </c>
      <c r="I23" s="3" t="str" cm="1">
        <f t="array" ref="I23">INDEX($L$102:$T$110,ROW()-14,COLUMN()-1)</f>
        <v>5</v>
      </c>
      <c r="J23" s="3" t="str" cm="1">
        <f t="array" ref="J23">INDEX($L$102:$T$110,ROW()-14,COLUMN()-1)</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Medium'!$AS$11="Verify",COUNTIF($B$51:$J$59,TRUE)&gt;0,$B$99),"",IF($L$111="ASSIGNMENT",$N$111,IF($L$111="LIMIT","Candidate chain limit reached after "&amp;$M$111&amp;" elimination step(s).",IF($L$111="CONTRADICTION","Candidate chain contradiction detected.",SDK_FallbackReveal($B$3:$J$11,$B$39:$J$47)))))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f>IF($B$88="","",_xlfn.LET(_xlpm.parts,_xlfn.TEXTSPLIT($B$88," · "),_xlpm.partCount,COLUMNS(_xlpm.parts),IF(_xlpm.partCount&gt;1,"Technique — "&amp;INDEX(_xlpm.parts,1,1)&amp;" | Pattern — "&amp;INDEX(_xlpm.parts,1,2),"Status — "&amp;INDEX(_xlpm.parts,1,1))))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row r="101" spans="1:20">
      <c r="L101" t="s">
        <v>699</v>
      </c>
    </row>
    <row r="102" spans="1:20">
      <c r="L102" t="str" cm="1">
        <f t="array" ref="L102:T111">SDKP_Chain($B$3:$J$11,8)</f>
        <v>345</v>
      </c>
      <c r="M102" t="str">
        <v>3</v>
      </c>
      <c r="N102" t="str">
        <v>5</v>
      </c>
      <c r="O102" t="str">
        <v/>
      </c>
      <c r="P102" t="str">
        <v/>
      </c>
      <c r="Q102" t="str">
        <v>59</v>
      </c>
      <c r="R102" t="str">
        <v/>
      </c>
      <c r="S102" t="str">
        <v>8</v>
      </c>
      <c r="T102" t="str">
        <v/>
      </c>
    </row>
    <row r="103" spans="1:20">
      <c r="L103" t="str">
        <v/>
      </c>
      <c r="M103" t="str">
        <v/>
      </c>
      <c r="N103" t="str">
        <v>25</v>
      </c>
      <c r="O103" t="str">
        <v>5</v>
      </c>
      <c r="P103" t="str">
        <v/>
      </c>
      <c r="Q103" t="str">
        <v>15</v>
      </c>
      <c r="R103" t="str">
        <v>234</v>
      </c>
      <c r="S103" t="str">
        <v/>
      </c>
      <c r="T103" t="str">
        <v>23</v>
      </c>
    </row>
    <row r="104" spans="1:20">
      <c r="L104" t="str">
        <v/>
      </c>
      <c r="M104" t="str">
        <v/>
      </c>
      <c r="N104" t="str">
        <v>27</v>
      </c>
      <c r="O104" t="str">
        <v>8</v>
      </c>
      <c r="P104" t="str">
        <v>38</v>
      </c>
      <c r="Q104" t="str">
        <v/>
      </c>
      <c r="R104" t="str">
        <v/>
      </c>
      <c r="S104" t="str">
        <v>68</v>
      </c>
      <c r="T104" t="str">
        <v>23</v>
      </c>
    </row>
    <row r="105" spans="1:20">
      <c r="L105" t="str">
        <v/>
      </c>
      <c r="M105" t="str">
        <v/>
      </c>
      <c r="N105" t="str">
        <v>67</v>
      </c>
      <c r="O105" t="str">
        <v/>
      </c>
      <c r="P105" t="str">
        <v>9</v>
      </c>
      <c r="Q105" t="str">
        <v>579</v>
      </c>
      <c r="R105" t="str">
        <v>36</v>
      </c>
      <c r="S105" t="str">
        <v/>
      </c>
      <c r="T105" t="str">
        <v>357</v>
      </c>
    </row>
    <row r="106" spans="1:20">
      <c r="L106" t="str">
        <v>3</v>
      </c>
      <c r="M106" t="str">
        <v>137</v>
      </c>
      <c r="N106" t="str">
        <v/>
      </c>
      <c r="O106" t="str">
        <v/>
      </c>
      <c r="P106" t="str">
        <v>8</v>
      </c>
      <c r="Q106" t="str">
        <v/>
      </c>
      <c r="R106" t="str">
        <v/>
      </c>
      <c r="S106" t="str">
        <v>15</v>
      </c>
      <c r="T106" t="str">
        <v>357</v>
      </c>
    </row>
    <row r="107" spans="1:20">
      <c r="L107" t="str">
        <v>9</v>
      </c>
      <c r="M107" t="str">
        <v/>
      </c>
      <c r="N107" t="str">
        <v>167</v>
      </c>
      <c r="O107" t="str">
        <v>479</v>
      </c>
      <c r="P107" t="str">
        <v>49</v>
      </c>
      <c r="Q107" t="str">
        <v/>
      </c>
      <c r="R107" t="str">
        <v>16</v>
      </c>
      <c r="S107" t="str">
        <v/>
      </c>
      <c r="T107" t="str">
        <v/>
      </c>
    </row>
    <row r="108" spans="1:20">
      <c r="L108" t="str">
        <v>25</v>
      </c>
      <c r="M108" t="str">
        <v>16</v>
      </c>
      <c r="N108" t="str">
        <v/>
      </c>
      <c r="O108" t="str">
        <v/>
      </c>
      <c r="P108" t="str">
        <v>2</v>
      </c>
      <c r="Q108" t="str">
        <v>6</v>
      </c>
      <c r="R108" t="str">
        <v>128</v>
      </c>
      <c r="S108" t="str">
        <v/>
      </c>
      <c r="T108" t="str">
        <v/>
      </c>
    </row>
    <row r="109" spans="1:20">
      <c r="L109" t="str">
        <v>2</v>
      </c>
      <c r="M109" t="str">
        <v/>
      </c>
      <c r="N109" t="str">
        <v>128</v>
      </c>
      <c r="O109" t="str">
        <v>79</v>
      </c>
      <c r="P109" t="str">
        <v/>
      </c>
      <c r="Q109" t="str">
        <v>79</v>
      </c>
      <c r="R109" t="str">
        <v>128</v>
      </c>
      <c r="S109" t="str">
        <v/>
      </c>
      <c r="T109" t="str">
        <v/>
      </c>
    </row>
    <row r="110" spans="1:20">
      <c r="L110" t="str">
        <v/>
      </c>
      <c r="M110" t="str">
        <v>6</v>
      </c>
      <c r="N110" t="str">
        <v/>
      </c>
      <c r="O110" t="str">
        <v>49</v>
      </c>
      <c r="P110" t="str">
        <v/>
      </c>
      <c r="Q110" t="str">
        <v/>
      </c>
      <c r="R110" t="str">
        <v>2</v>
      </c>
      <c r="S110" t="str">
        <v>5</v>
      </c>
      <c r="T110" t="str">
        <v>259</v>
      </c>
    </row>
    <row r="111" spans="1:20">
      <c r="L111" t="str">
        <v>ASSIGNMENT</v>
      </c>
      <c r="M111">
        <v>0</v>
      </c>
      <c r="N111" t="str">
        <v>Naked single · R1C2 = 3 · This is the only legal candidate remaining in the square.</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23468</v>
      </c>
      <c r="C15" s="3" t="str" cm="1">
        <f t="array" ref="C15">INDEX($L$102:$T$110,ROW()-14,COLUMN()-1)</f>
        <v>1468</v>
      </c>
      <c r="D15" s="3" t="str" cm="1">
        <f t="array" ref="D15">INDEX($L$102:$T$110,ROW()-14,COLUMN()-1)</f>
        <v>123568</v>
      </c>
      <c r="E15" s="3" t="str" cm="1">
        <f t="array" ref="E15">INDEX($L$102:$T$110,ROW()-14,COLUMN()-1)</f>
        <v>368</v>
      </c>
      <c r="F15" s="3" t="str" cm="1">
        <f t="array" ref="F15">INDEX($L$102:$T$110,ROW()-14,COLUMN()-1)</f>
        <v>1368</v>
      </c>
      <c r="G15" s="3" t="str" cm="1">
        <f t="array" ref="G15">INDEX($L$102:$T$110,ROW()-14,COLUMN()-1)</f>
        <v>136</v>
      </c>
      <c r="H15" s="3" t="str" cm="1">
        <f t="array" ref="H15">INDEX($L$102:$T$110,ROW()-14,COLUMN()-1)</f>
        <v/>
      </c>
      <c r="I15" s="3" t="str" cm="1">
        <f t="array" ref="I15">INDEX($L$102:$T$110,ROW()-14,COLUMN()-1)</f>
        <v>35</v>
      </c>
      <c r="J15" s="3" t="str" cm="1">
        <f t="array" ref="J15">INDEX($L$102:$T$110,ROW()-14,COLUMN()-1)</f>
        <v/>
      </c>
    </row>
    <row r="16" spans="1:10">
      <c r="A16" s="3"/>
      <c r="B16" s="3" t="str" cm="1">
        <f t="array" ref="B16">INDEX($L$102:$T$110,ROW()-14,COLUMN()-1)</f>
        <v>367</v>
      </c>
      <c r="C16" s="3" t="str" cm="1">
        <f t="array" ref="C16">INDEX($L$102:$T$110,ROW()-14,COLUMN()-1)</f>
        <v>679</v>
      </c>
      <c r="D16" s="3" t="str" cm="1">
        <f t="array" ref="D16">INDEX($L$102:$T$110,ROW()-14,COLUMN()-1)</f>
        <v>3569</v>
      </c>
      <c r="E16" s="3" t="str" cm="1">
        <f t="array" ref="E16">INDEX($L$102:$T$110,ROW()-14,COLUMN()-1)</f>
        <v/>
      </c>
      <c r="F16" s="3" t="str" cm="1">
        <f t="array" ref="F16">INDEX($L$102:$T$110,ROW()-14,COLUMN()-1)</f>
        <v/>
      </c>
      <c r="G16" s="3" t="str" cm="1">
        <f t="array" ref="G16">INDEX($L$102:$T$110,ROW()-14,COLUMN()-1)</f>
        <v>36</v>
      </c>
      <c r="H16" s="3" t="str" cm="1">
        <f t="array" ref="H16">INDEX($L$102:$T$110,ROW()-14,COLUMN()-1)</f>
        <v/>
      </c>
      <c r="I16" s="3" t="str" cm="1">
        <f t="array" ref="I16">INDEX($L$102:$T$110,ROW()-14,COLUMN()-1)</f>
        <v/>
      </c>
      <c r="J16" s="3" t="str" cm="1">
        <f t="array" ref="J16">INDEX($L$102:$T$110,ROW()-14,COLUMN()-1)</f>
        <v>35</v>
      </c>
    </row>
    <row r="17" spans="1:10">
      <c r="A17" s="3"/>
      <c r="B17" s="3" t="str" cm="1">
        <f t="array" ref="B17">INDEX($L$102:$T$110,ROW()-14,COLUMN()-1)</f>
        <v>348</v>
      </c>
      <c r="C17" s="3" t="str" cm="1">
        <f t="array" ref="C17">INDEX($L$102:$T$110,ROW()-14,COLUMN()-1)</f>
        <v>1489</v>
      </c>
      <c r="D17" s="3" t="str" cm="1">
        <f t="array" ref="D17">INDEX($L$102:$T$110,ROW()-14,COLUMN()-1)</f>
        <v>1389</v>
      </c>
      <c r="E17" s="3" t="str" cm="1">
        <f t="array" ref="E17">INDEX($L$102:$T$110,ROW()-14,COLUMN()-1)</f>
        <v/>
      </c>
      <c r="F17" s="3" t="str" cm="1">
        <f t="array" ref="F17">INDEX($L$102:$T$110,ROW()-14,COLUMN()-1)</f>
        <v>1389</v>
      </c>
      <c r="G17" s="3" t="str" cm="1">
        <f t="array" ref="G17">INDEX($L$102:$T$110,ROW()-14,COLUMN()-1)</f>
        <v/>
      </c>
      <c r="H17" s="3" t="str" cm="1">
        <f t="array" ref="H17">INDEX($L$102:$T$110,ROW()-14,COLUMN()-1)</f>
        <v>34</v>
      </c>
      <c r="I17" s="3" t="str" cm="1">
        <f t="array" ref="I17">INDEX($L$102:$T$110,ROW()-14,COLUMN()-1)</f>
        <v/>
      </c>
      <c r="J17" s="3" t="str" cm="1">
        <f t="array" ref="J17">INDEX($L$102:$T$110,ROW()-14,COLUMN()-1)</f>
        <v/>
      </c>
    </row>
    <row r="18" spans="1:10">
      <c r="A18" s="3"/>
      <c r="B18" s="3" t="str" cm="1">
        <f t="array" ref="B18">INDEX($L$102:$T$110,ROW()-14,COLUMN()-1)</f>
        <v/>
      </c>
      <c r="C18" s="3" t="str" cm="1">
        <f t="array" ref="C18">INDEX($L$102:$T$110,ROW()-14,COLUMN()-1)</f>
        <v>678</v>
      </c>
      <c r="D18" s="3" t="str" cm="1">
        <f t="array" ref="D18">INDEX($L$102:$T$110,ROW()-14,COLUMN()-1)</f>
        <v>2368</v>
      </c>
      <c r="E18" s="3" t="str" cm="1">
        <f t="array" ref="E18">INDEX($L$102:$T$110,ROW()-14,COLUMN()-1)</f>
        <v/>
      </c>
      <c r="F18" s="3" t="str" cm="1">
        <f t="array" ref="F18">INDEX($L$102:$T$110,ROW()-14,COLUMN()-1)</f>
        <v>368</v>
      </c>
      <c r="G18" s="3" t="str" cm="1">
        <f t="array" ref="G18">INDEX($L$102:$T$110,ROW()-14,COLUMN()-1)</f>
        <v/>
      </c>
      <c r="H18" s="3" t="str" cm="1">
        <f t="array" ref="H18">INDEX($L$102:$T$110,ROW()-14,COLUMN()-1)</f>
        <v>235678</v>
      </c>
      <c r="I18" s="3" t="str" cm="1">
        <f t="array" ref="I18">INDEX($L$102:$T$110,ROW()-14,COLUMN()-1)</f>
        <v>3567</v>
      </c>
      <c r="J18" s="3" t="str" cm="1">
        <f t="array" ref="J18">INDEX($L$102:$T$110,ROW()-14,COLUMN()-1)</f>
        <v>2358</v>
      </c>
    </row>
    <row r="19" spans="1:10">
      <c r="A19" s="3"/>
      <c r="B19" s="3" t="str" cm="1">
        <f t="array" ref="B19">INDEX($L$102:$T$110,ROW()-14,COLUMN()-1)</f>
        <v>23678</v>
      </c>
      <c r="C19" s="3" t="str" cm="1">
        <f t="array" ref="C19">INDEX($L$102:$T$110,ROW()-14,COLUMN()-1)</f>
        <v/>
      </c>
      <c r="D19" s="3" t="str" cm="1">
        <f t="array" ref="D19">INDEX($L$102:$T$110,ROW()-14,COLUMN()-1)</f>
        <v>23689</v>
      </c>
      <c r="E19" s="3" t="str" cm="1">
        <f t="array" ref="E19">INDEX($L$102:$T$110,ROW()-14,COLUMN()-1)</f>
        <v>2368</v>
      </c>
      <c r="F19" s="3" t="str" cm="1">
        <f t="array" ref="F19">INDEX($L$102:$T$110,ROW()-14,COLUMN()-1)</f>
        <v>1368</v>
      </c>
      <c r="G19" s="3" t="str" cm="1">
        <f t="array" ref="G19">INDEX($L$102:$T$110,ROW()-14,COLUMN()-1)</f>
        <v>1236</v>
      </c>
      <c r="H19" s="3" t="str" cm="1">
        <f t="array" ref="H19">INDEX($L$102:$T$110,ROW()-14,COLUMN()-1)</f>
        <v>23678</v>
      </c>
      <c r="I19" s="3" t="str" cm="1">
        <f t="array" ref="I19">INDEX($L$102:$T$110,ROW()-14,COLUMN()-1)</f>
        <v/>
      </c>
      <c r="J19" s="3" t="str" cm="1">
        <f t="array" ref="J19">INDEX($L$102:$T$110,ROW()-14,COLUMN()-1)</f>
        <v>1238</v>
      </c>
    </row>
    <row r="20" spans="1:10">
      <c r="A20" s="3"/>
      <c r="B20" s="3" t="str" cm="1">
        <f t="array" ref="B20">INDEX($L$102:$T$110,ROW()-14,COLUMN()-1)</f>
        <v>23468</v>
      </c>
      <c r="C20" s="3" t="str" cm="1">
        <f t="array" ref="C20">INDEX($L$102:$T$110,ROW()-14,COLUMN()-1)</f>
        <v>468</v>
      </c>
      <c r="D20" s="3" t="str" cm="1">
        <f t="array" ref="D20">INDEX($L$102:$T$110,ROW()-14,COLUMN()-1)</f>
        <v>2368</v>
      </c>
      <c r="E20" s="3" t="str" cm="1">
        <f t="array" ref="E20">INDEX($L$102:$T$110,ROW()-14,COLUMN()-1)</f>
        <v/>
      </c>
      <c r="F20" s="3" t="str" cm="1">
        <f t="array" ref="F20">INDEX($L$102:$T$110,ROW()-14,COLUMN()-1)</f>
        <v>1368</v>
      </c>
      <c r="G20" s="3" t="str" cm="1">
        <f t="array" ref="G20">INDEX($L$102:$T$110,ROW()-14,COLUMN()-1)</f>
        <v/>
      </c>
      <c r="H20" s="3" t="str" cm="1">
        <f t="array" ref="H20">INDEX($L$102:$T$110,ROW()-14,COLUMN()-1)</f>
        <v>2368</v>
      </c>
      <c r="I20" s="3" t="str" cm="1">
        <f t="array" ref="I20">INDEX($L$102:$T$110,ROW()-14,COLUMN()-1)</f>
        <v>136</v>
      </c>
      <c r="J20" s="3" t="str" cm="1">
        <f t="array" ref="J20">INDEX($L$102:$T$110,ROW()-14,COLUMN()-1)</f>
        <v/>
      </c>
    </row>
    <row r="21" spans="1:10">
      <c r="A21" s="3"/>
      <c r="B21" s="3" t="str" cm="1">
        <f t="array" ref="B21">INDEX($L$102:$T$110,ROW()-14,COLUMN()-1)</f>
        <v/>
      </c>
      <c r="C21" s="3" t="str" cm="1">
        <f t="array" ref="C21">INDEX($L$102:$T$110,ROW()-14,COLUMN()-1)</f>
        <v/>
      </c>
      <c r="D21" s="3" t="str" cm="1">
        <f t="array" ref="D21">INDEX($L$102:$T$110,ROW()-14,COLUMN()-1)</f>
        <v>6</v>
      </c>
      <c r="E21" s="3" t="str" cm="1">
        <f t="array" ref="E21">INDEX($L$102:$T$110,ROW()-14,COLUMN()-1)</f>
        <v/>
      </c>
      <c r="F21" s="3" t="str" cm="1">
        <f t="array" ref="F21">INDEX($L$102:$T$110,ROW()-14,COLUMN()-1)</f>
        <v>3467</v>
      </c>
      <c r="G21" s="3" t="str" cm="1">
        <f t="array" ref="G21">INDEX($L$102:$T$110,ROW()-14,COLUMN()-1)</f>
        <v/>
      </c>
      <c r="H21" s="3" t="str" cm="1">
        <f t="array" ref="H21">INDEX($L$102:$T$110,ROW()-14,COLUMN()-1)</f>
        <v>34567</v>
      </c>
      <c r="I21" s="3" t="str" cm="1">
        <f t="array" ref="I21">INDEX($L$102:$T$110,ROW()-14,COLUMN()-1)</f>
        <v>3567</v>
      </c>
      <c r="J21" s="3" t="str" cm="1">
        <f t="array" ref="J21">INDEX($L$102:$T$110,ROW()-14,COLUMN()-1)</f>
        <v>345</v>
      </c>
    </row>
    <row r="22" spans="1:10">
      <c r="A22" s="3"/>
      <c r="B22" s="3" t="str" cm="1">
        <f t="array" ref="B22">INDEX($L$102:$T$110,ROW()-14,COLUMN()-1)</f>
        <v>68</v>
      </c>
      <c r="C22" s="3" t="str" cm="1">
        <f t="array" ref="C22">INDEX($L$102:$T$110,ROW()-14,COLUMN()-1)</f>
        <v/>
      </c>
      <c r="D22" s="3" t="str" cm="1">
        <f t="array" ref="D22">INDEX($L$102:$T$110,ROW()-14,COLUMN()-1)</f>
        <v/>
      </c>
      <c r="E22" s="3" t="str" cm="1">
        <f t="array" ref="E22">INDEX($L$102:$T$110,ROW()-14,COLUMN()-1)</f>
        <v>26</v>
      </c>
      <c r="F22" s="3" t="str" cm="1">
        <f t="array" ref="F22">INDEX($L$102:$T$110,ROW()-14,COLUMN()-1)</f>
        <v/>
      </c>
      <c r="G22" s="3" t="str" cm="1">
        <f t="array" ref="G22">INDEX($L$102:$T$110,ROW()-14,COLUMN()-1)</f>
        <v/>
      </c>
      <c r="H22" s="3" t="str" cm="1">
        <f t="array" ref="H22">INDEX($L$102:$T$110,ROW()-14,COLUMN()-1)</f>
        <v>2678</v>
      </c>
      <c r="I22" s="3" t="str" cm="1">
        <f t="array" ref="I22">INDEX($L$102:$T$110,ROW()-14,COLUMN()-1)</f>
        <v>167</v>
      </c>
      <c r="J22" s="3" t="str" cm="1">
        <f t="array" ref="J22">INDEX($L$102:$T$110,ROW()-14,COLUMN()-1)</f>
        <v>128</v>
      </c>
    </row>
    <row r="23" spans="1:10">
      <c r="A23" s="3"/>
      <c r="B23" s="3" t="str" cm="1">
        <f t="array" ref="B23">INDEX($L$102:$T$110,ROW()-14,COLUMN()-1)</f>
        <v/>
      </c>
      <c r="C23" s="3" t="str" cm="1">
        <f t="array" ref="C23">INDEX($L$102:$T$110,ROW()-14,COLUMN()-1)</f>
        <v>168</v>
      </c>
      <c r="D23" s="3" t="str" cm="1">
        <f t="array" ref="D23">INDEX($L$102:$T$110,ROW()-14,COLUMN()-1)</f>
        <v/>
      </c>
      <c r="E23" s="3" t="str" cm="1">
        <f t="array" ref="E23">INDEX($L$102:$T$110,ROW()-14,COLUMN()-1)</f>
        <v>236</v>
      </c>
      <c r="F23" s="3" t="str" cm="1">
        <f t="array" ref="F23">INDEX($L$102:$T$110,ROW()-14,COLUMN()-1)</f>
        <v>346</v>
      </c>
      <c r="G23" s="3" t="str" cm="1">
        <f t="array" ref="G23">INDEX($L$102:$T$110,ROW()-14,COLUMN()-1)</f>
        <v>236</v>
      </c>
      <c r="H23" s="3" t="str" cm="1">
        <f t="array" ref="H23">INDEX($L$102:$T$110,ROW()-14,COLUMN()-1)</f>
        <v>23468</v>
      </c>
      <c r="I23" s="3" t="str" cm="1">
        <f t="array" ref="I23">INDEX($L$102:$T$110,ROW()-14,COLUMN()-1)</f>
        <v>1369</v>
      </c>
      <c r="J23" s="3" t="str" cm="1">
        <f t="array" ref="J23">INDEX($L$102:$T$110,ROW()-14,COLUMN()-1)</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Hard'!$AS$11="Verify",COUNTIF($B$51:$J$59,TRUE)&gt;0,$B$99),"",IF($L$111="ASSIGNMENT",$N$111,IF($L$111="LIMIT","Candidate chain limit reached after "&amp;$M$111&amp;" elimination step(s).",IF($L$111="CONTRADICTION","Candidate chain contradiction detected.",SDK_FallbackReveal($B$3:$J$11,$B$39:$J$47)))))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f>IF($B$88="","",_xlfn.LET(_xlpm.parts,_xlfn.TEXTSPLIT($B$88," · "),_xlpm.partCount,COLUMNS(_xlpm.parts),IF(_xlpm.partCount&gt;1,"Technique — "&amp;INDEX(_xlpm.parts,1,1)&amp;" | Pattern — "&amp;INDEX(_xlpm.parts,1,2),"Status — "&amp;INDEX(_xlpm.parts,1,1))))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row r="101" spans="1:20">
      <c r="L101" t="s">
        <v>699</v>
      </c>
    </row>
    <row r="102" spans="1:20">
      <c r="L102" t="str" cm="1">
        <f t="array" ref="L102:T111">SDKP_Chain($B$3:$J$11,8)</f>
        <v>23468</v>
      </c>
      <c r="M102" t="str">
        <v>1468</v>
      </c>
      <c r="N102" t="str">
        <v>123568</v>
      </c>
      <c r="O102" t="str">
        <v>368</v>
      </c>
      <c r="P102" t="str">
        <v>1368</v>
      </c>
      <c r="Q102" t="str">
        <v>136</v>
      </c>
      <c r="R102" t="str">
        <v/>
      </c>
      <c r="S102" t="str">
        <v>35</v>
      </c>
      <c r="T102" t="str">
        <v/>
      </c>
    </row>
    <row r="103" spans="1:20">
      <c r="L103" t="str">
        <v>367</v>
      </c>
      <c r="M103" t="str">
        <v>679</v>
      </c>
      <c r="N103" t="str">
        <v>3569</v>
      </c>
      <c r="O103" t="str">
        <v/>
      </c>
      <c r="P103" t="str">
        <v/>
      </c>
      <c r="Q103" t="str">
        <v>36</v>
      </c>
      <c r="R103" t="str">
        <v/>
      </c>
      <c r="S103" t="str">
        <v/>
      </c>
      <c r="T103" t="str">
        <v>35</v>
      </c>
    </row>
    <row r="104" spans="1:20">
      <c r="L104" t="str">
        <v>348</v>
      </c>
      <c r="M104" t="str">
        <v>1489</v>
      </c>
      <c r="N104" t="str">
        <v>1389</v>
      </c>
      <c r="O104" t="str">
        <v/>
      </c>
      <c r="P104" t="str">
        <v>1389</v>
      </c>
      <c r="Q104" t="str">
        <v/>
      </c>
      <c r="R104" t="str">
        <v>34</v>
      </c>
      <c r="S104" t="str">
        <v/>
      </c>
      <c r="T104" t="str">
        <v/>
      </c>
    </row>
    <row r="105" spans="1:20">
      <c r="L105" t="str">
        <v/>
      </c>
      <c r="M105" t="str">
        <v>678</v>
      </c>
      <c r="N105" t="str">
        <v>2368</v>
      </c>
      <c r="O105" t="str">
        <v/>
      </c>
      <c r="P105" t="str">
        <v>368</v>
      </c>
      <c r="Q105" t="str">
        <v/>
      </c>
      <c r="R105" t="str">
        <v>235678</v>
      </c>
      <c r="S105" t="str">
        <v>3567</v>
      </c>
      <c r="T105" t="str">
        <v>2358</v>
      </c>
    </row>
    <row r="106" spans="1:20">
      <c r="L106" t="str">
        <v>23678</v>
      </c>
      <c r="M106" t="str">
        <v/>
      </c>
      <c r="N106" t="str">
        <v>23689</v>
      </c>
      <c r="O106" t="str">
        <v>2368</v>
      </c>
      <c r="P106" t="str">
        <v>1368</v>
      </c>
      <c r="Q106" t="str">
        <v>1236</v>
      </c>
      <c r="R106" t="str">
        <v>23678</v>
      </c>
      <c r="S106" t="str">
        <v/>
      </c>
      <c r="T106" t="str">
        <v>1238</v>
      </c>
    </row>
    <row r="107" spans="1:20">
      <c r="L107" t="str">
        <v>23468</v>
      </c>
      <c r="M107" t="str">
        <v>468</v>
      </c>
      <c r="N107" t="str">
        <v>2368</v>
      </c>
      <c r="O107" t="str">
        <v/>
      </c>
      <c r="P107" t="str">
        <v>1368</v>
      </c>
      <c r="Q107" t="str">
        <v/>
      </c>
      <c r="R107" t="str">
        <v>2368</v>
      </c>
      <c r="S107" t="str">
        <v>136</v>
      </c>
      <c r="T107" t="str">
        <v/>
      </c>
    </row>
    <row r="108" spans="1:20">
      <c r="L108" t="str">
        <v/>
      </c>
      <c r="M108" t="str">
        <v/>
      </c>
      <c r="N108" t="str">
        <v>6</v>
      </c>
      <c r="O108" t="str">
        <v/>
      </c>
      <c r="P108" t="str">
        <v>3467</v>
      </c>
      <c r="Q108" t="str">
        <v/>
      </c>
      <c r="R108" t="str">
        <v>34567</v>
      </c>
      <c r="S108" t="str">
        <v>3567</v>
      </c>
      <c r="T108" t="str">
        <v>345</v>
      </c>
    </row>
    <row r="109" spans="1:20">
      <c r="L109" t="str">
        <v>68</v>
      </c>
      <c r="M109" t="str">
        <v/>
      </c>
      <c r="N109" t="str">
        <v/>
      </c>
      <c r="O109" t="str">
        <v>26</v>
      </c>
      <c r="P109" t="str">
        <v/>
      </c>
      <c r="Q109" t="str">
        <v/>
      </c>
      <c r="R109" t="str">
        <v>2678</v>
      </c>
      <c r="S109" t="str">
        <v>167</v>
      </c>
      <c r="T109" t="str">
        <v>128</v>
      </c>
    </row>
    <row r="110" spans="1:20">
      <c r="L110" t="str">
        <v/>
      </c>
      <c r="M110" t="str">
        <v>168</v>
      </c>
      <c r="N110" t="str">
        <v/>
      </c>
      <c r="O110" t="str">
        <v>236</v>
      </c>
      <c r="P110" t="str">
        <v>346</v>
      </c>
      <c r="Q110" t="str">
        <v>236</v>
      </c>
      <c r="R110" t="str">
        <v>23468</v>
      </c>
      <c r="S110" t="str">
        <v>1369</v>
      </c>
      <c r="T110" t="str">
        <v>12348</v>
      </c>
    </row>
    <row r="111" spans="1:20">
      <c r="L111" t="str">
        <v>ASSIGNMENT</v>
      </c>
      <c r="M111">
        <v>0</v>
      </c>
      <c r="N111" t="str">
        <v>Naked single · R7C3 = 6 · This is the only legal candidate remaining in the square.</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12456</v>
      </c>
      <c r="C15" s="3" t="str" cm="1">
        <f t="array" ref="C15">INDEX($L$102:$T$110,ROW()-14,COLUMN()-1)</f>
        <v/>
      </c>
      <c r="D15" s="3" t="str" cm="1">
        <f t="array" ref="D15">INDEX($L$102:$T$110,ROW()-14,COLUMN()-1)</f>
        <v>156</v>
      </c>
      <c r="E15" s="3" t="str" cm="1">
        <f t="array" ref="E15">INDEX($L$102:$T$110,ROW()-14,COLUMN()-1)</f>
        <v>67</v>
      </c>
      <c r="F15" s="3" t="str" cm="1">
        <f t="array" ref="F15">INDEX($L$102:$T$110,ROW()-14,COLUMN()-1)</f>
        <v>12467</v>
      </c>
      <c r="G15" s="3" t="str" cm="1">
        <f t="array" ref="G15">INDEX($L$102:$T$110,ROW()-14,COLUMN()-1)</f>
        <v>146</v>
      </c>
      <c r="H15" s="3" t="str" cm="1">
        <f t="array" ref="H15">INDEX($L$102:$T$110,ROW()-14,COLUMN()-1)</f>
        <v>4679</v>
      </c>
      <c r="I15" s="3" t="str" cm="1">
        <f t="array" ref="I15">INDEX($L$102:$T$110,ROW()-14,COLUMN()-1)</f>
        <v/>
      </c>
      <c r="J15" s="3" t="str" cm="1">
        <f t="array" ref="J15">INDEX($L$102:$T$110,ROW()-14,COLUMN()-1)</f>
        <v>4679</v>
      </c>
    </row>
    <row r="16" spans="1:10">
      <c r="A16" s="3"/>
      <c r="B16" s="3" t="str" cm="1">
        <f t="array" ref="B16">INDEX($L$102:$T$110,ROW()-14,COLUMN()-1)</f>
        <v>12468</v>
      </c>
      <c r="C16" s="3" t="str" cm="1">
        <f t="array" ref="C16">INDEX($L$102:$T$110,ROW()-14,COLUMN()-1)</f>
        <v>1468</v>
      </c>
      <c r="D16" s="3" t="str" cm="1">
        <f t="array" ref="D16">INDEX($L$102:$T$110,ROW()-14,COLUMN()-1)</f>
        <v/>
      </c>
      <c r="E16" s="3" t="str" cm="1">
        <f t="array" ref="E16">INDEX($L$102:$T$110,ROW()-14,COLUMN()-1)</f>
        <v>3678</v>
      </c>
      <c r="F16" s="3" t="str" cm="1">
        <f t="array" ref="F16">INDEX($L$102:$T$110,ROW()-14,COLUMN()-1)</f>
        <v>1234678</v>
      </c>
      <c r="G16" s="3" t="str" cm="1">
        <f t="array" ref="G16">INDEX($L$102:$T$110,ROW()-14,COLUMN()-1)</f>
        <v>13468</v>
      </c>
      <c r="H16" s="3" t="str" cm="1">
        <f t="array" ref="H16">INDEX($L$102:$T$110,ROW()-14,COLUMN()-1)</f>
        <v/>
      </c>
      <c r="I16" s="3" t="str" cm="1">
        <f t="array" ref="I16">INDEX($L$102:$T$110,ROW()-14,COLUMN()-1)</f>
        <v>1467</v>
      </c>
      <c r="J16" s="3" t="str" cm="1">
        <f t="array" ref="J16">INDEX($L$102:$T$110,ROW()-14,COLUMN()-1)</f>
        <v>3467</v>
      </c>
    </row>
    <row r="17" spans="1:10">
      <c r="A17" s="3"/>
      <c r="B17" s="3" t="str" cm="1">
        <f t="array" ref="B17">INDEX($L$102:$T$110,ROW()-14,COLUMN()-1)</f>
        <v>1468</v>
      </c>
      <c r="C17" s="3" t="str" cm="1">
        <f t="array" ref="C17">INDEX($L$102:$T$110,ROW()-14,COLUMN()-1)</f>
        <v>1468</v>
      </c>
      <c r="D17" s="3" t="str" cm="1">
        <f t="array" ref="D17">INDEX($L$102:$T$110,ROW()-14,COLUMN()-1)</f>
        <v/>
      </c>
      <c r="E17" s="3" t="str" cm="1">
        <f t="array" ref="E17">INDEX($L$102:$T$110,ROW()-14,COLUMN()-1)</f>
        <v/>
      </c>
      <c r="F17" s="3" t="str" cm="1">
        <f t="array" ref="F17">INDEX($L$102:$T$110,ROW()-14,COLUMN()-1)</f>
        <v>13468</v>
      </c>
      <c r="G17" s="3" t="str" cm="1">
        <f t="array" ref="G17">INDEX($L$102:$T$110,ROW()-14,COLUMN()-1)</f>
        <v/>
      </c>
      <c r="H17" s="3" t="str" cm="1">
        <f t="array" ref="H17">INDEX($L$102:$T$110,ROW()-14,COLUMN()-1)</f>
        <v/>
      </c>
      <c r="I17" s="3" t="str" cm="1">
        <f t="array" ref="I17">INDEX($L$102:$T$110,ROW()-14,COLUMN()-1)</f>
        <v>146</v>
      </c>
      <c r="J17" s="3" t="str" cm="1">
        <f t="array" ref="J17">INDEX($L$102:$T$110,ROW()-14,COLUMN()-1)</f>
        <v>346</v>
      </c>
    </row>
    <row r="18" spans="1:10">
      <c r="A18" s="3"/>
      <c r="B18" s="3" t="str" cm="1">
        <f t="array" ref="B18">INDEX($L$102:$T$110,ROW()-14,COLUMN()-1)</f>
        <v/>
      </c>
      <c r="C18" s="3" t="str" cm="1">
        <f t="array" ref="C18">INDEX($L$102:$T$110,ROW()-14,COLUMN()-1)</f>
        <v>46</v>
      </c>
      <c r="D18" s="3" t="str" cm="1">
        <f t="array" ref="D18">INDEX($L$102:$T$110,ROW()-14,COLUMN()-1)</f>
        <v>36</v>
      </c>
      <c r="E18" s="3" t="str" cm="1">
        <f t="array" ref="E18">INDEX($L$102:$T$110,ROW()-14,COLUMN()-1)</f>
        <v/>
      </c>
      <c r="F18" s="3" t="str" cm="1">
        <f t="array" ref="F18">INDEX($L$102:$T$110,ROW()-14,COLUMN()-1)</f>
        <v>36</v>
      </c>
      <c r="G18" s="3" t="str" cm="1">
        <f t="array" ref="G18">INDEX($L$102:$T$110,ROW()-14,COLUMN()-1)</f>
        <v/>
      </c>
      <c r="H18" s="3" t="str" cm="1">
        <f t="array" ref="H18">INDEX($L$102:$T$110,ROW()-14,COLUMN()-1)</f>
        <v>469</v>
      </c>
      <c r="I18" s="3" t="str" cm="1">
        <f t="array" ref="I18">INDEX($L$102:$T$110,ROW()-14,COLUMN()-1)</f>
        <v>246</v>
      </c>
      <c r="J18" s="3" t="str" cm="1">
        <f t="array" ref="J18">INDEX($L$102:$T$110,ROW()-14,COLUMN()-1)</f>
        <v/>
      </c>
    </row>
    <row r="19" spans="1:10">
      <c r="A19" s="3"/>
      <c r="B19" s="3" t="str" cm="1">
        <f t="array" ref="B19">INDEX($L$102:$T$110,ROW()-14,COLUMN()-1)</f>
        <v>14568</v>
      </c>
      <c r="C19" s="3" t="str" cm="1">
        <f t="array" ref="C19">INDEX($L$102:$T$110,ROW()-14,COLUMN()-1)</f>
        <v/>
      </c>
      <c r="D19" s="3" t="str" cm="1">
        <f t="array" ref="D19">INDEX($L$102:$T$110,ROW()-14,COLUMN()-1)</f>
        <v>1568</v>
      </c>
      <c r="E19" s="3" t="str" cm="1">
        <f t="array" ref="E19">INDEX($L$102:$T$110,ROW()-14,COLUMN()-1)</f>
        <v>678</v>
      </c>
      <c r="F19" s="3" t="str" cm="1">
        <f t="array" ref="F19">INDEX($L$102:$T$110,ROW()-14,COLUMN()-1)</f>
        <v/>
      </c>
      <c r="G19" s="3" t="str" cm="1">
        <f t="array" ref="G19">INDEX($L$102:$T$110,ROW()-14,COLUMN()-1)</f>
        <v>68</v>
      </c>
      <c r="H19" s="3" t="str" cm="1">
        <f t="array" ref="H19">INDEX($L$102:$T$110,ROW()-14,COLUMN()-1)</f>
        <v>467</v>
      </c>
      <c r="I19" s="3" t="str" cm="1">
        <f t="array" ref="I19">INDEX($L$102:$T$110,ROW()-14,COLUMN()-1)</f>
        <v/>
      </c>
      <c r="J19" s="3" t="str" cm="1">
        <f t="array" ref="J19">INDEX($L$102:$T$110,ROW()-14,COLUMN()-1)</f>
        <v>4567</v>
      </c>
    </row>
    <row r="20" spans="1:10">
      <c r="A20" s="3"/>
      <c r="B20" s="3" t="str" cm="1">
        <f t="array" ref="B20">INDEX($L$102:$T$110,ROW()-14,COLUMN()-1)</f>
        <v/>
      </c>
      <c r="C20" s="3" t="str" cm="1">
        <f t="array" ref="C20">INDEX($L$102:$T$110,ROW()-14,COLUMN()-1)</f>
        <v>568</v>
      </c>
      <c r="D20" s="3" t="str" cm="1">
        <f t="array" ref="D20">INDEX($L$102:$T$110,ROW()-14,COLUMN()-1)</f>
        <v>3568</v>
      </c>
      <c r="E20" s="3" t="str" cm="1">
        <f t="array" ref="E20">INDEX($L$102:$T$110,ROW()-14,COLUMN()-1)</f>
        <v/>
      </c>
      <c r="F20" s="3" t="str" cm="1">
        <f t="array" ref="F20">INDEX($L$102:$T$110,ROW()-14,COLUMN()-1)</f>
        <v>3678</v>
      </c>
      <c r="G20" s="3" t="str" cm="1">
        <f t="array" ref="G20">INDEX($L$102:$T$110,ROW()-14,COLUMN()-1)</f>
        <v/>
      </c>
      <c r="H20" s="3" t="str" cm="1">
        <f t="array" ref="H20">INDEX($L$102:$T$110,ROW()-14,COLUMN()-1)</f>
        <v>67</v>
      </c>
      <c r="I20" s="3" t="str" cm="1">
        <f t="array" ref="I20">INDEX($L$102:$T$110,ROW()-14,COLUMN()-1)</f>
        <v>567</v>
      </c>
      <c r="J20" s="3" t="str" cm="1">
        <f t="array" ref="J20">INDEX($L$102:$T$110,ROW()-14,COLUMN()-1)</f>
        <v/>
      </c>
    </row>
    <row r="21" spans="1:10">
      <c r="A21" s="3"/>
      <c r="B21" s="3" t="str" cm="1">
        <f t="array" ref="B21">INDEX($L$102:$T$110,ROW()-14,COLUMN()-1)</f>
        <v>3568</v>
      </c>
      <c r="C21" s="3" t="str" cm="1">
        <f t="array" ref="C21">INDEX($L$102:$T$110,ROW()-14,COLUMN()-1)</f>
        <v>5689</v>
      </c>
      <c r="D21" s="3" t="str" cm="1">
        <f t="array" ref="D21">INDEX($L$102:$T$110,ROW()-14,COLUMN()-1)</f>
        <v/>
      </c>
      <c r="E21" s="3" t="str" cm="1">
        <f t="array" ref="E21">INDEX($L$102:$T$110,ROW()-14,COLUMN()-1)</f>
        <v/>
      </c>
      <c r="F21" s="3" t="str" cm="1">
        <f t="array" ref="F21">INDEX($L$102:$T$110,ROW()-14,COLUMN()-1)</f>
        <v>3568</v>
      </c>
      <c r="G21" s="3" t="str" cm="1">
        <f t="array" ref="G21">INDEX($L$102:$T$110,ROW()-14,COLUMN()-1)</f>
        <v/>
      </c>
      <c r="H21" s="3" t="str" cm="1">
        <f t="array" ref="H21">INDEX($L$102:$T$110,ROW()-14,COLUMN()-1)</f>
        <v/>
      </c>
      <c r="I21" s="3" t="str" cm="1">
        <f t="array" ref="I21">INDEX($L$102:$T$110,ROW()-14,COLUMN()-1)</f>
        <v>56</v>
      </c>
      <c r="J21" s="3" t="str" cm="1">
        <f t="array" ref="J21">INDEX($L$102:$T$110,ROW()-14,COLUMN()-1)</f>
        <v>356</v>
      </c>
    </row>
    <row r="22" spans="1:10">
      <c r="A22" s="3"/>
      <c r="B22" s="3" t="str" cm="1">
        <f t="array" ref="B22">INDEX($L$102:$T$110,ROW()-14,COLUMN()-1)</f>
        <v>1356</v>
      </c>
      <c r="C22" s="3" t="str" cm="1">
        <f t="array" ref="C22">INDEX($L$102:$T$110,ROW()-14,COLUMN()-1)</f>
        <v>1569</v>
      </c>
      <c r="D22" s="3" t="str" cm="1">
        <f t="array" ref="D22">INDEX($L$102:$T$110,ROW()-14,COLUMN()-1)</f>
        <v/>
      </c>
      <c r="E22" s="3" t="str" cm="1">
        <f t="array" ref="E22">INDEX($L$102:$T$110,ROW()-14,COLUMN()-1)</f>
        <v>369</v>
      </c>
      <c r="F22" s="3" t="str" cm="1">
        <f t="array" ref="F22">INDEX($L$102:$T$110,ROW()-14,COLUMN()-1)</f>
        <v>13456</v>
      </c>
      <c r="G22" s="3" t="str" cm="1">
        <f t="array" ref="G22">INDEX($L$102:$T$110,ROW()-14,COLUMN()-1)</f>
        <v>1346</v>
      </c>
      <c r="H22" s="3" t="str" cm="1">
        <f t="array" ref="H22">INDEX($L$102:$T$110,ROW()-14,COLUMN()-1)</f>
        <v/>
      </c>
      <c r="I22" s="3" t="str" cm="1">
        <f t="array" ref="I22">INDEX($L$102:$T$110,ROW()-14,COLUMN()-1)</f>
        <v>4567</v>
      </c>
      <c r="J22" s="3" t="str" cm="1">
        <f t="array" ref="J22">INDEX($L$102:$T$110,ROW()-14,COLUMN()-1)</f>
        <v>34567</v>
      </c>
    </row>
    <row r="23" spans="1:10">
      <c r="A23" s="3"/>
      <c r="B23" s="3" t="str" cm="1">
        <f t="array" ref="B23">INDEX($L$102:$T$110,ROW()-14,COLUMN()-1)</f>
        <v>13568</v>
      </c>
      <c r="C23" s="3" t="str" cm="1">
        <f t="array" ref="C23">INDEX($L$102:$T$110,ROW()-14,COLUMN()-1)</f>
        <v/>
      </c>
      <c r="D23" s="3" t="str" cm="1">
        <f t="array" ref="D23">INDEX($L$102:$T$110,ROW()-14,COLUMN()-1)</f>
        <v>13568</v>
      </c>
      <c r="E23" s="3" t="str" cm="1">
        <f t="array" ref="E23">INDEX($L$102:$T$110,ROW()-14,COLUMN()-1)</f>
        <v>368</v>
      </c>
      <c r="F23" s="3" t="str" cm="1">
        <f t="array" ref="F23">INDEX($L$102:$T$110,ROW()-14,COLUMN()-1)</f>
        <v>134568</v>
      </c>
      <c r="G23" s="3" t="str" cm="1">
        <f t="array" ref="G23">INDEX($L$102:$T$110,ROW()-14,COLUMN()-1)</f>
        <v>13468</v>
      </c>
      <c r="H23" s="3" t="str" cm="1">
        <f t="array" ref="H23">INDEX($L$102:$T$110,ROW()-14,COLUMN()-1)</f>
        <v>346</v>
      </c>
      <c r="I23" s="3" t="str" cm="1">
        <f t="array" ref="I23">INDEX($L$102:$T$110,ROW()-14,COLUMN()-1)</f>
        <v/>
      </c>
      <c r="J23" s="3" t="str" cm="1">
        <f t="array" ref="J23">INDEX($L$102:$T$110,ROW()-14,COLUMN()-1)</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Expert'!$AS$11="Verify",COUNTIF($B$51:$J$59,TRUE)&gt;0,$B$99),"",IF($L$111="ASSIGNMENT",$N$111,IF($L$111="LIMIT","Candidate chain limit reached after "&amp;$M$111&amp;" elimination step(s).",IF($L$111="CONTRADICTION","Candidate chain contradiction detected.",SDK_FallbackReveal($B$3:$J$11,$B$39:$J$47)))))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f>IF($B$88="","",_xlfn.LET(_xlpm.parts,_xlfn.TEXTSPLIT($B$88," · "),_xlpm.partCount,COLUMNS(_xlpm.parts),IF(_xlpm.partCount&gt;1,"Technique — "&amp;INDEX(_xlpm.parts,1,1)&amp;" | Pattern — "&amp;INDEX(_xlpm.parts,1,2),"Status — "&amp;INDEX(_xlpm.parts,1,1))))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row r="101" spans="1:20">
      <c r="L101" t="s">
        <v>699</v>
      </c>
    </row>
    <row r="102" spans="1:20">
      <c r="L102" t="str" cm="1">
        <f t="array" ref="L102:T111">SDKP_Chain($B$3:$J$11,8)</f>
        <v>12456</v>
      </c>
      <c r="M102" t="str">
        <v/>
      </c>
      <c r="N102" t="str">
        <v>156</v>
      </c>
      <c r="O102" t="str">
        <v>67</v>
      </c>
      <c r="P102" t="str">
        <v>12467</v>
      </c>
      <c r="Q102" t="str">
        <v>146</v>
      </c>
      <c r="R102" t="str">
        <v>4679</v>
      </c>
      <c r="S102" t="str">
        <v/>
      </c>
      <c r="T102" t="str">
        <v>4679</v>
      </c>
    </row>
    <row r="103" spans="1:20">
      <c r="L103" t="str">
        <v>12468</v>
      </c>
      <c r="M103" t="str">
        <v>1468</v>
      </c>
      <c r="N103" t="str">
        <v/>
      </c>
      <c r="O103" t="str">
        <v>3678</v>
      </c>
      <c r="P103" t="str">
        <v>1234678</v>
      </c>
      <c r="Q103" t="str">
        <v>13468</v>
      </c>
      <c r="R103" t="str">
        <v/>
      </c>
      <c r="S103" t="str">
        <v>1467</v>
      </c>
      <c r="T103" t="str">
        <v>3467</v>
      </c>
    </row>
    <row r="104" spans="1:20">
      <c r="L104" t="str">
        <v>1468</v>
      </c>
      <c r="M104" t="str">
        <v>1468</v>
      </c>
      <c r="N104" t="str">
        <v/>
      </c>
      <c r="O104" t="str">
        <v/>
      </c>
      <c r="P104" t="str">
        <v>13468</v>
      </c>
      <c r="Q104" t="str">
        <v/>
      </c>
      <c r="R104" t="str">
        <v/>
      </c>
      <c r="S104" t="str">
        <v>146</v>
      </c>
      <c r="T104" t="str">
        <v>346</v>
      </c>
    </row>
    <row r="105" spans="1:20">
      <c r="L105" t="str">
        <v/>
      </c>
      <c r="M105" t="str">
        <v>46</v>
      </c>
      <c r="N105" t="str">
        <v>36</v>
      </c>
      <c r="O105" t="str">
        <v/>
      </c>
      <c r="P105" t="str">
        <v>36</v>
      </c>
      <c r="Q105" t="str">
        <v/>
      </c>
      <c r="R105" t="str">
        <v>469</v>
      </c>
      <c r="S105" t="str">
        <v>246</v>
      </c>
      <c r="T105" t="str">
        <v/>
      </c>
    </row>
    <row r="106" spans="1:20">
      <c r="L106" t="str">
        <v>14568</v>
      </c>
      <c r="M106" t="str">
        <v/>
      </c>
      <c r="N106" t="str">
        <v>1568</v>
      </c>
      <c r="O106" t="str">
        <v>678</v>
      </c>
      <c r="P106" t="str">
        <v/>
      </c>
      <c r="Q106" t="str">
        <v>68</v>
      </c>
      <c r="R106" t="str">
        <v>467</v>
      </c>
      <c r="S106" t="str">
        <v/>
      </c>
      <c r="T106" t="str">
        <v>4567</v>
      </c>
    </row>
    <row r="107" spans="1:20">
      <c r="L107" t="str">
        <v/>
      </c>
      <c r="M107" t="str">
        <v>568</v>
      </c>
      <c r="N107" t="str">
        <v>3568</v>
      </c>
      <c r="O107" t="str">
        <v/>
      </c>
      <c r="P107" t="str">
        <v>3678</v>
      </c>
      <c r="Q107" t="str">
        <v/>
      </c>
      <c r="R107" t="str">
        <v>67</v>
      </c>
      <c r="S107" t="str">
        <v>567</v>
      </c>
      <c r="T107" t="str">
        <v/>
      </c>
    </row>
    <row r="108" spans="1:20">
      <c r="L108" t="str">
        <v>3568</v>
      </c>
      <c r="M108" t="str">
        <v>5689</v>
      </c>
      <c r="N108" t="str">
        <v/>
      </c>
      <c r="O108" t="str">
        <v/>
      </c>
      <c r="P108" t="str">
        <v>3568</v>
      </c>
      <c r="Q108" t="str">
        <v/>
      </c>
      <c r="R108" t="str">
        <v/>
      </c>
      <c r="S108" t="str">
        <v>56</v>
      </c>
      <c r="T108" t="str">
        <v>356</v>
      </c>
    </row>
    <row r="109" spans="1:20">
      <c r="L109" t="str">
        <v>1356</v>
      </c>
      <c r="M109" t="str">
        <v>1569</v>
      </c>
      <c r="N109" t="str">
        <v/>
      </c>
      <c r="O109" t="str">
        <v>369</v>
      </c>
      <c r="P109" t="str">
        <v>13456</v>
      </c>
      <c r="Q109" t="str">
        <v>1346</v>
      </c>
      <c r="R109" t="str">
        <v/>
      </c>
      <c r="S109" t="str">
        <v>4567</v>
      </c>
      <c r="T109" t="str">
        <v>34567</v>
      </c>
    </row>
    <row r="110" spans="1:20">
      <c r="L110" t="str">
        <v>13568</v>
      </c>
      <c r="M110" t="str">
        <v/>
      </c>
      <c r="N110" t="str">
        <v>13568</v>
      </c>
      <c r="O110" t="str">
        <v>368</v>
      </c>
      <c r="P110" t="str">
        <v>134568</v>
      </c>
      <c r="Q110" t="str">
        <v>13468</v>
      </c>
      <c r="R110" t="str">
        <v>346</v>
      </c>
      <c r="S110" t="str">
        <v/>
      </c>
      <c r="T110" t="str">
        <v>23456</v>
      </c>
    </row>
    <row r="111" spans="1:20">
      <c r="L111" t="str">
        <v>ASSIGNMENT</v>
      </c>
      <c r="M111">
        <v>0</v>
      </c>
      <c r="N111" t="str">
        <v>Hidden single in row · R4C8 = 2 · Digit 2 appears in only one candidate set in row 4.</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697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2026-09-23T16:01:39Z</dcterms:modified>
</cp:coreProperties>
</file>