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codeName="ThisWorkbook" defaultThemeVersion="202300"/>
  <xr:revisionPtr revIDLastSave="0" documentId="13_ncr:1_{C3373B9D-2E4A-8D4F-BFB2-1D98CB16392F}"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",TRUE,_xlpm.targets),_xlpm.b,3*(_xlpm.band-1)+1+QUOTIENT(_xlpm.k-1,3),IF(_xlpm.txt&lt;&gt;"","Claiming column · Column "&amp;_xlpm.k&amp;" confines digit "&amp;_xlpm.d&amp;" to box "&amp;_xlpm.b&amp;"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",TRUE,_xlpm.targets),_xlpm.b,3*QUOTIENT(_xlpm.r-1,3)+_xlpm.band,IF(_xlpm.txt&lt;&gt;"","Claiming row · Row "&amp;_xlpm.r&amp;" confines digit "&amp;_xlpm.d&amp;" to box "&amp;_xlpm.b&amp;"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colCoordinates,_xlfn.TOCOL(_xlfn.MAKEARRAY(3,3,_xlfn.LAMBDA(_xlpm.rowOffset,_xlpm.colOffset,_xlpm.boxStartCol+_xlpm.colOffset-1))),_xlpm.candidateCols,_xlfn._xlws.FILTER(_xlpm.colCoordinates,_xlfn.TOCOL(_xlpm.candidateMask),""),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andidateRows,_xlfn._xlws.FILTER(_xlpm.rowCoordinates,_xlfn.TOCOL(_xlpm.candidateMask),""),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55" i="8" l="1"/>
  <c r="D148" i="10"/>
  <c r="E148" i="10" s="1"/>
  <c r="A9" i="8"/>
  <c r="A8" i="8"/>
  <c r="A7" i="8"/>
  <c r="A6" i="8"/>
  <c r="A5" i="8"/>
  <c r="D39" i="8"/>
  <c r="AM12" i="24" a="1"/>
  <c r="AM12" i="24" s="1"/>
  <c r="AM12" i="23" a="1"/>
  <c r="AM12" i="23" s="1"/>
  <c r="AM12" i="22" a="1"/>
  <c r="AM12" i="22" s="1"/>
  <c r="AM12" i="21" a="1"/>
  <c r="AM12" i="21" s="1"/>
  <c r="AM12" i="12" a="1"/>
  <c r="AM12" i="12" s="1"/>
  <c r="C5" i="23"/>
  <c r="C5" i="21"/>
  <c r="E144" i="10"/>
  <c r="D144" i="10"/>
  <c r="E143" i="10"/>
  <c r="D143" i="10" a="1"/>
  <c r="D143" i="10" s="1"/>
  <c r="E142" i="10"/>
  <c r="D142" i="10" a="1"/>
  <c r="D142" i="10" s="1"/>
  <c r="AI29" i="24"/>
  <c r="AE29" i="24"/>
  <c r="AA29" i="24"/>
  <c r="W29" i="24"/>
  <c r="S29" i="24"/>
  <c r="O29" i="24"/>
  <c r="K29" i="24"/>
  <c r="G29" i="24"/>
  <c r="C29" i="24"/>
  <c r="AI26" i="24"/>
  <c r="AE26" i="24"/>
  <c r="AA26" i="24"/>
  <c r="W26" i="24"/>
  <c r="S26" i="24"/>
  <c r="O26" i="24"/>
  <c r="K26" i="24"/>
  <c r="G26" i="24"/>
  <c r="C26" i="24"/>
  <c r="AI23" i="24"/>
  <c r="AE23" i="24"/>
  <c r="AA23" i="24"/>
  <c r="W23" i="24"/>
  <c r="S23" i="24"/>
  <c r="O23" i="24"/>
  <c r="K23" i="24"/>
  <c r="G23" i="24"/>
  <c r="C23" i="24"/>
  <c r="AI20" i="24"/>
  <c r="AE20" i="24"/>
  <c r="AA20" i="24"/>
  <c r="W20" i="24"/>
  <c r="S20" i="24"/>
  <c r="O20" i="24"/>
  <c r="K20" i="24"/>
  <c r="G20" i="24"/>
  <c r="C20" i="24"/>
  <c r="AI17" i="24"/>
  <c r="AE17" i="24"/>
  <c r="AA17" i="24"/>
  <c r="W17" i="24"/>
  <c r="S17" i="24"/>
  <c r="O17" i="24"/>
  <c r="K17" i="24"/>
  <c r="G17" i="24"/>
  <c r="C17" i="24"/>
  <c r="AI14" i="24"/>
  <c r="AE14" i="24"/>
  <c r="AA14" i="24"/>
  <c r="W14" i="24"/>
  <c r="S14" i="24"/>
  <c r="O14" i="24"/>
  <c r="K14" i="24"/>
  <c r="G14" i="24"/>
  <c r="C14" i="24"/>
  <c r="AI11" i="24"/>
  <c r="AE11" i="24"/>
  <c r="AA11" i="24"/>
  <c r="W11" i="24"/>
  <c r="S11" i="24"/>
  <c r="O11" i="24"/>
  <c r="K11" i="24"/>
  <c r="G11" i="24"/>
  <c r="C11" i="24"/>
  <c r="AI8" i="24"/>
  <c r="AE8" i="24"/>
  <c r="AA8" i="24"/>
  <c r="W8" i="24"/>
  <c r="S8" i="24"/>
  <c r="O8" i="24"/>
  <c r="K8" i="24"/>
  <c r="G8" i="24"/>
  <c r="C8" i="24"/>
  <c r="AI5" i="24"/>
  <c r="AE5" i="24"/>
  <c r="AA5" i="24"/>
  <c r="W5" i="24"/>
  <c r="S5" i="24"/>
  <c r="O5" i="24"/>
  <c r="K5" i="24"/>
  <c r="G5" i="24"/>
  <c r="C5" i="24"/>
  <c r="B3" i="16" s="1"/>
  <c r="G4" i="16"/>
  <c r="B90" i="14" a="1"/>
  <c r="B90" i="14" s="1"/>
  <c r="B89" i="14" a="1"/>
  <c r="B89" i="14" s="1"/>
  <c r="B88" i="14" a="1"/>
  <c r="B88" i="14" s="1"/>
  <c r="B90" i="13" a="1"/>
  <c r="B90" i="13" s="1"/>
  <c r="B89" i="13" a="1"/>
  <c r="B89" i="13" s="1"/>
  <c r="B88" i="13" a="1"/>
  <c r="B88" i="13" s="1"/>
  <c r="B90" i="9" a="1"/>
  <c r="B90" i="9" s="1"/>
  <c r="B89" i="9" a="1"/>
  <c r="B89" i="9" s="1"/>
  <c r="B88" i="9" a="1"/>
  <c r="B88" i="9" s="1"/>
  <c r="AI29" i="23"/>
  <c r="AE29" i="23"/>
  <c r="AA29" i="23"/>
  <c r="W29" i="23"/>
  <c r="S29" i="23"/>
  <c r="O29" i="23"/>
  <c r="K29" i="23"/>
  <c r="G29" i="23"/>
  <c r="C29" i="23"/>
  <c r="AI26" i="23"/>
  <c r="AE26" i="23"/>
  <c r="AA26" i="23"/>
  <c r="W26" i="23"/>
  <c r="S26" i="23"/>
  <c r="O26" i="23"/>
  <c r="K26" i="23"/>
  <c r="G26" i="23"/>
  <c r="C26" i="23"/>
  <c r="AI23" i="23"/>
  <c r="AE23" i="23"/>
  <c r="AA23" i="23"/>
  <c r="W23" i="23"/>
  <c r="S23" i="23"/>
  <c r="O23" i="23"/>
  <c r="K23" i="23"/>
  <c r="G23" i="23"/>
  <c r="C23" i="23"/>
  <c r="AI20" i="23"/>
  <c r="AE20" i="23"/>
  <c r="AA20" i="23"/>
  <c r="W20" i="23"/>
  <c r="S20" i="23"/>
  <c r="O20" i="23"/>
  <c r="K20" i="23"/>
  <c r="G20" i="23"/>
  <c r="C20" i="23"/>
  <c r="AI17" i="23"/>
  <c r="AE17" i="23"/>
  <c r="AA17" i="23"/>
  <c r="W17" i="23"/>
  <c r="S17" i="23"/>
  <c r="O17" i="23"/>
  <c r="K17" i="23"/>
  <c r="G17" i="23"/>
  <c r="C17" i="23"/>
  <c r="AI14" i="23"/>
  <c r="AE14" i="23"/>
  <c r="AA14" i="23"/>
  <c r="W14" i="23"/>
  <c r="S14" i="23"/>
  <c r="O14" i="23"/>
  <c r="K14" i="23"/>
  <c r="G14" i="23"/>
  <c r="C14" i="23"/>
  <c r="AI11" i="23"/>
  <c r="AE11" i="23"/>
  <c r="AA11" i="23"/>
  <c r="W11" i="23"/>
  <c r="S11" i="23"/>
  <c r="O11" i="23"/>
  <c r="K11" i="23"/>
  <c r="G11" i="23"/>
  <c r="C11" i="23"/>
  <c r="AI8" i="23"/>
  <c r="AE8" i="23"/>
  <c r="AA8" i="23"/>
  <c r="W8" i="23"/>
  <c r="S8" i="23"/>
  <c r="O8" i="23"/>
  <c r="K8" i="23"/>
  <c r="G8" i="23"/>
  <c r="C8" i="23"/>
  <c r="AI5" i="23"/>
  <c r="AE5" i="23"/>
  <c r="AA5" i="23"/>
  <c r="W5" i="23"/>
  <c r="S5" i="23"/>
  <c r="O5" i="23"/>
  <c r="K5" i="23"/>
  <c r="G5" i="23"/>
  <c r="AI29" i="22"/>
  <c r="AE29" i="22"/>
  <c r="AA29" i="22"/>
  <c r="W29" i="22"/>
  <c r="S29" i="22"/>
  <c r="O29" i="22"/>
  <c r="K29" i="22"/>
  <c r="G29" i="22"/>
  <c r="C29" i="22"/>
  <c r="AI26" i="22"/>
  <c r="AE26" i="22"/>
  <c r="AA26" i="22"/>
  <c r="W26" i="22"/>
  <c r="S26" i="22"/>
  <c r="O26" i="22"/>
  <c r="K26" i="22"/>
  <c r="G26" i="22"/>
  <c r="C26" i="22"/>
  <c r="AI23" i="22"/>
  <c r="AE23" i="22"/>
  <c r="AA23" i="22"/>
  <c r="W23" i="22"/>
  <c r="S23" i="22"/>
  <c r="O23" i="22"/>
  <c r="K23" i="22"/>
  <c r="G23" i="22"/>
  <c r="C23" i="22"/>
  <c r="AI20" i="22"/>
  <c r="AE20" i="22"/>
  <c r="AA20" i="22"/>
  <c r="W20" i="22"/>
  <c r="S20" i="22"/>
  <c r="O20" i="22"/>
  <c r="K20" i="22"/>
  <c r="G20" i="22"/>
  <c r="C20" i="22"/>
  <c r="AI17" i="22"/>
  <c r="AE17" i="22"/>
  <c r="AA17" i="22"/>
  <c r="W17" i="22"/>
  <c r="S17" i="22"/>
  <c r="O17" i="22"/>
  <c r="K17" i="22"/>
  <c r="G17" i="22"/>
  <c r="C17" i="22"/>
  <c r="AI14" i="22"/>
  <c r="AE14" i="22"/>
  <c r="AA14" i="22"/>
  <c r="W14" i="22"/>
  <c r="S14" i="22"/>
  <c r="O14" i="22"/>
  <c r="K14" i="22"/>
  <c r="G14" i="22"/>
  <c r="C14" i="22"/>
  <c r="AI11" i="22"/>
  <c r="AE11" i="22"/>
  <c r="AA11" i="22"/>
  <c r="W11" i="22"/>
  <c r="S11" i="22"/>
  <c r="O11" i="22"/>
  <c r="K11" i="22"/>
  <c r="G11" i="22"/>
  <c r="C11" i="22"/>
  <c r="AI8" i="22"/>
  <c r="AE8" i="22"/>
  <c r="AA8" i="22"/>
  <c r="W8" i="22"/>
  <c r="S8" i="22"/>
  <c r="O8" i="22"/>
  <c r="K8" i="22"/>
  <c r="G8" i="22"/>
  <c r="C8" i="22"/>
  <c r="AI5" i="22"/>
  <c r="AE5" i="22"/>
  <c r="AA5" i="22"/>
  <c r="W5" i="22"/>
  <c r="S5" i="22"/>
  <c r="O5" i="22"/>
  <c r="K5" i="22"/>
  <c r="G5" i="22"/>
  <c r="C5" i="22"/>
  <c r="AI29" i="12"/>
  <c r="AE29" i="12"/>
  <c r="S29" i="12"/>
  <c r="AI26" i="12"/>
  <c r="W26" i="12"/>
  <c r="S26" i="12"/>
  <c r="O26" i="12"/>
  <c r="AE23" i="12"/>
  <c r="AA23" i="12"/>
  <c r="G23" i="12"/>
  <c r="AI20" i="12"/>
  <c r="S20" i="12"/>
  <c r="C20" i="12"/>
  <c r="AI17" i="12"/>
  <c r="W17" i="12"/>
  <c r="O17" i="12"/>
  <c r="C17" i="12"/>
  <c r="AI14" i="12"/>
  <c r="S14" i="12"/>
  <c r="C14" i="12"/>
  <c r="AE11" i="12"/>
  <c r="K11" i="12"/>
  <c r="G11" i="12"/>
  <c r="W8" i="12"/>
  <c r="S8" i="12"/>
  <c r="O8" i="12"/>
  <c r="C8" i="12"/>
  <c r="S5" i="12"/>
  <c r="K5" i="12"/>
  <c r="G5" i="12"/>
  <c r="C5" i="12"/>
  <c r="D140" i="10"/>
  <c r="E140" i="10" s="1"/>
  <c r="D132" i="10"/>
  <c r="E132" i="10" s="1"/>
  <c r="D129" i="10" a="1"/>
  <c r="D129" i="10" s="1"/>
  <c r="E129" i="10" s="1"/>
  <c r="D128" i="10" a="1"/>
  <c r="D128" i="10" s="1"/>
  <c r="E128" i="10" s="1"/>
  <c r="D120" i="10" a="1"/>
  <c r="D120" i="10" s="1"/>
  <c r="E120" i="10" s="1"/>
  <c r="D119" i="10" a="1"/>
  <c r="D119" i="10" s="1"/>
  <c r="E119" i="10" s="1"/>
  <c r="D118" i="10" a="1"/>
  <c r="D118" i="10" s="1"/>
  <c r="E118" i="10" s="1"/>
  <c r="D117" i="10" a="1"/>
  <c r="D117" i="10" s="1"/>
  <c r="E117" i="10" s="1"/>
  <c r="D116" i="10" a="1"/>
  <c r="D116" i="10" s="1"/>
  <c r="E116" i="10" s="1"/>
  <c r="D115" i="10" a="1"/>
  <c r="D115" i="10" s="1"/>
  <c r="E115"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21" i="10" a="1"/>
  <c r="D121" i="10" s="1"/>
  <c r="E121"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B100" i="16" a="1"/>
  <c r="B100" i="16" s="1"/>
  <c r="D75" i="10" s="1"/>
  <c r="B100" i="15" a="1"/>
  <c r="B100" i="15" s="1"/>
  <c r="D74" i="10" s="1"/>
  <c r="B100" i="14" a="1"/>
  <c r="B100" i="14" s="1"/>
  <c r="D73" i="10" s="1"/>
  <c r="B100" i="13" a="1"/>
  <c r="B100" i="13" s="1"/>
  <c r="D72"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G59" i="16" s="1" a="1"/>
  <c r="G59" i="16" s="1"/>
  <c r="F11" i="16"/>
  <c r="E11" i="16"/>
  <c r="E59" i="16" s="1" a="1"/>
  <c r="E59" i="16" s="1"/>
  <c r="D11" i="16"/>
  <c r="C11" i="16"/>
  <c r="C59" i="16" s="1" a="1"/>
  <c r="C59" i="16" s="1"/>
  <c r="B11" i="16"/>
  <c r="J10" i="16"/>
  <c r="AH26" i="24" s="1" a="1"/>
  <c r="AH26" i="24" s="1"/>
  <c r="I10" i="16"/>
  <c r="I58" i="16" s="1" a="1"/>
  <c r="I58" i="16" s="1"/>
  <c r="H10" i="16"/>
  <c r="H58" i="16" s="1" a="1"/>
  <c r="H58" i="16" s="1"/>
  <c r="G10" i="16"/>
  <c r="F10" i="16"/>
  <c r="E10" i="16"/>
  <c r="D10" i="16"/>
  <c r="C10" i="16"/>
  <c r="B10" i="16"/>
  <c r="B58" i="16" s="1" a="1"/>
  <c r="B58" i="16" s="1"/>
  <c r="J9" i="16"/>
  <c r="I9" i="16"/>
  <c r="AF22" i="24" s="1" a="1"/>
  <c r="AF22" i="24" s="1"/>
  <c r="H9" i="16"/>
  <c r="G9" i="16"/>
  <c r="F9" i="16"/>
  <c r="F57" i="16" s="1" a="1"/>
  <c r="F57" i="16" s="1"/>
  <c r="E9" i="16"/>
  <c r="E57" i="16" s="1" a="1"/>
  <c r="E57" i="16" s="1"/>
  <c r="D9" i="16"/>
  <c r="C9" i="16"/>
  <c r="B9" i="16"/>
  <c r="J8" i="16"/>
  <c r="I8" i="16"/>
  <c r="I56" i="16" s="1" a="1"/>
  <c r="I56" i="16" s="1"/>
  <c r="H8" i="16"/>
  <c r="G8" i="16"/>
  <c r="F8" i="16"/>
  <c r="E8" i="16"/>
  <c r="D8" i="16"/>
  <c r="D56" i="16" s="1" a="1"/>
  <c r="D56" i="16" s="1"/>
  <c r="C8" i="16"/>
  <c r="C56" i="16" s="1" a="1"/>
  <c r="C56" i="16" s="1"/>
  <c r="B8" i="16"/>
  <c r="D20" i="24" s="1" a="1"/>
  <c r="D20" i="24" s="1"/>
  <c r="J7" i="16"/>
  <c r="I7" i="16"/>
  <c r="I55" i="16" s="1" a="1"/>
  <c r="I55" i="16" s="1"/>
  <c r="H7" i="16"/>
  <c r="G7" i="16"/>
  <c r="F7" i="16"/>
  <c r="E7" i="16"/>
  <c r="D7" i="16"/>
  <c r="C7" i="16"/>
  <c r="B7" i="16"/>
  <c r="J6" i="16"/>
  <c r="I6" i="16"/>
  <c r="H6" i="16"/>
  <c r="G6" i="16"/>
  <c r="F6" i="16"/>
  <c r="E6" i="16"/>
  <c r="D6" i="16"/>
  <c r="C6" i="16"/>
  <c r="B6" i="16"/>
  <c r="J5" i="16"/>
  <c r="J53" i="16" s="1" a="1"/>
  <c r="J53" i="16" s="1"/>
  <c r="I5" i="16"/>
  <c r="H5" i="16"/>
  <c r="H17" i="16" s="1" a="1"/>
  <c r="H17" i="16" s="1"/>
  <c r="G5" i="16"/>
  <c r="G53" i="16" s="1" a="1"/>
  <c r="G53" i="16" s="1"/>
  <c r="F5" i="16"/>
  <c r="F53" i="16" s="1" a="1"/>
  <c r="F53" i="16" s="1"/>
  <c r="E5" i="16"/>
  <c r="D5" i="16"/>
  <c r="L10" i="24" s="1" a="1"/>
  <c r="L10" i="24" s="1"/>
  <c r="C5" i="16"/>
  <c r="B5" i="16"/>
  <c r="J4" i="16"/>
  <c r="I4" i="16"/>
  <c r="I52" i="16" s="1" a="1"/>
  <c r="I52" i="16" s="1"/>
  <c r="H4" i="16"/>
  <c r="F4" i="16"/>
  <c r="S7" i="24" s="1" a="1"/>
  <c r="S7" i="24" s="1"/>
  <c r="E4" i="16"/>
  <c r="E52" i="16" s="1" a="1"/>
  <c r="E52" i="16" s="1"/>
  <c r="D4" i="16"/>
  <c r="C4" i="16"/>
  <c r="B4" i="16"/>
  <c r="J3" i="16"/>
  <c r="I3" i="16"/>
  <c r="H3" i="16"/>
  <c r="H51" i="16" s="1" a="1"/>
  <c r="H51" i="16" s="1"/>
  <c r="G3" i="16"/>
  <c r="F3" i="16"/>
  <c r="E3" i="16"/>
  <c r="E51" i="16" s="1" a="1"/>
  <c r="E51" i="16" s="1"/>
  <c r="D3" i="16"/>
  <c r="D51" i="16" s="1" a="1"/>
  <c r="D51" i="16" s="1"/>
  <c r="C3" i="16"/>
  <c r="J11" i="15"/>
  <c r="I11" i="15"/>
  <c r="H11" i="15"/>
  <c r="G11" i="15"/>
  <c r="F11" i="15"/>
  <c r="E11" i="15"/>
  <c r="D11" i="15"/>
  <c r="C11" i="15"/>
  <c r="B11" i="15"/>
  <c r="B59" i="15" s="1" a="1"/>
  <c r="B59" i="15" s="1"/>
  <c r="J10" i="15"/>
  <c r="I10" i="15"/>
  <c r="I58" i="15" s="1" a="1"/>
  <c r="I58" i="15" s="1"/>
  <c r="H10" i="15"/>
  <c r="G10" i="15"/>
  <c r="F10" i="15"/>
  <c r="E10" i="15"/>
  <c r="D10" i="15"/>
  <c r="C10" i="15"/>
  <c r="B10" i="15"/>
  <c r="J9" i="15"/>
  <c r="J57" i="15" s="1" a="1"/>
  <c r="J57" i="15" s="1"/>
  <c r="I9" i="15"/>
  <c r="H9" i="15"/>
  <c r="G9" i="15"/>
  <c r="F9" i="15"/>
  <c r="F57" i="15" s="1" a="1"/>
  <c r="F57" i="15" s="1"/>
  <c r="E9" i="15"/>
  <c r="D9" i="15"/>
  <c r="C9" i="15"/>
  <c r="B9" i="15"/>
  <c r="J8" i="15"/>
  <c r="AH20" i="23" s="1" a="1"/>
  <c r="AH20" i="23" s="1"/>
  <c r="I8" i="15"/>
  <c r="I56" i="15" s="1" a="1"/>
  <c r="I56" i="15" s="1"/>
  <c r="H8" i="15"/>
  <c r="H56" i="15" s="1" a="1"/>
  <c r="H56" i="15" s="1"/>
  <c r="G8" i="15"/>
  <c r="F8" i="15"/>
  <c r="E8" i="15"/>
  <c r="D8" i="15"/>
  <c r="D56" i="15" s="1" a="1"/>
  <c r="D56" i="15" s="1"/>
  <c r="C8" i="15"/>
  <c r="B8" i="15"/>
  <c r="J7" i="15"/>
  <c r="I7" i="15"/>
  <c r="H7" i="15"/>
  <c r="H55" i="15" s="1" a="1"/>
  <c r="H55" i="15" s="1"/>
  <c r="G7" i="15"/>
  <c r="F7" i="15"/>
  <c r="E7" i="15"/>
  <c r="D7" i="15"/>
  <c r="D55" i="15" s="1" a="1"/>
  <c r="D55" i="15" s="1"/>
  <c r="C7" i="15"/>
  <c r="B7" i="15"/>
  <c r="J6" i="15"/>
  <c r="I6" i="15"/>
  <c r="H6" i="15"/>
  <c r="G6" i="15"/>
  <c r="F6" i="15"/>
  <c r="E6" i="15"/>
  <c r="D6" i="15"/>
  <c r="C6" i="15"/>
  <c r="B6" i="15"/>
  <c r="J5" i="15"/>
  <c r="I5" i="15"/>
  <c r="H5" i="15"/>
  <c r="G5" i="15"/>
  <c r="F5" i="15"/>
  <c r="F53" i="15" s="1" a="1"/>
  <c r="F53" i="15" s="1"/>
  <c r="E5" i="15"/>
  <c r="E17" i="15" s="1" a="1"/>
  <c r="E17" i="15" s="1"/>
  <c r="N11" i="23" s="1" a="1"/>
  <c r="N11" i="23" s="1"/>
  <c r="D5" i="15"/>
  <c r="J11" i="23" s="1" a="1"/>
  <c r="J11" i="23" s="1"/>
  <c r="C5" i="15"/>
  <c r="B5" i="15"/>
  <c r="B53" i="15" s="1" a="1"/>
  <c r="B53" i="15" s="1"/>
  <c r="J4" i="15"/>
  <c r="J52" i="15" s="1" a="1"/>
  <c r="J52" i="15" s="1"/>
  <c r="I4" i="15"/>
  <c r="H4" i="15"/>
  <c r="G4" i="15"/>
  <c r="F4" i="15"/>
  <c r="F52" i="15" s="1" a="1"/>
  <c r="F52" i="15" s="1"/>
  <c r="E4" i="15"/>
  <c r="D4" i="15"/>
  <c r="D16" i="15" s="1" a="1"/>
  <c r="D16" i="15" s="1"/>
  <c r="K9" i="23" s="1" a="1"/>
  <c r="K9" i="23" s="1"/>
  <c r="C4" i="15"/>
  <c r="B4" i="15"/>
  <c r="J3" i="15"/>
  <c r="I3" i="15"/>
  <c r="H3" i="15"/>
  <c r="G3" i="15"/>
  <c r="F3" i="15"/>
  <c r="E3" i="15"/>
  <c r="E51" i="15" s="1" a="1"/>
  <c r="E51" i="15" s="1"/>
  <c r="D3" i="15"/>
  <c r="D51" i="15" s="1" a="1"/>
  <c r="D51" i="15" s="1"/>
  <c r="C3" i="15"/>
  <c r="B3" i="15"/>
  <c r="B90" i="15" s="1" a="1"/>
  <c r="B90" i="15" s="1"/>
  <c r="J11" i="14"/>
  <c r="I11" i="14"/>
  <c r="H11" i="14"/>
  <c r="H59" i="14" s="1" a="1"/>
  <c r="H59" i="14" s="1"/>
  <c r="G11" i="14"/>
  <c r="G59" i="14" s="1" a="1"/>
  <c r="G59" i="14" s="1"/>
  <c r="F11" i="14"/>
  <c r="E11" i="14"/>
  <c r="D11" i="14"/>
  <c r="C11" i="14"/>
  <c r="B11" i="14"/>
  <c r="J10" i="14"/>
  <c r="I10" i="14"/>
  <c r="H10" i="14"/>
  <c r="G10" i="14"/>
  <c r="V26" i="22" s="1" a="1"/>
  <c r="V26" i="22" s="1"/>
  <c r="F10" i="14"/>
  <c r="S25" i="22" s="1" a="1"/>
  <c r="S25" i="22" s="1"/>
  <c r="E10" i="14"/>
  <c r="E58" i="14" s="1" a="1"/>
  <c r="E58" i="14" s="1"/>
  <c r="D10" i="14"/>
  <c r="C10" i="14"/>
  <c r="B10" i="14"/>
  <c r="J9" i="14"/>
  <c r="J57" i="14" s="1" a="1"/>
  <c r="J57" i="14" s="1"/>
  <c r="I9" i="14"/>
  <c r="H9" i="14"/>
  <c r="G9" i="14"/>
  <c r="F9" i="14"/>
  <c r="F57" i="14" s="1" a="1"/>
  <c r="F57" i="14" s="1"/>
  <c r="E9" i="14"/>
  <c r="D9" i="14"/>
  <c r="C9" i="14"/>
  <c r="B9" i="14"/>
  <c r="J8" i="14"/>
  <c r="AI19" i="22" s="1" a="1"/>
  <c r="AI19" i="22" s="1"/>
  <c r="I8" i="14"/>
  <c r="I56" i="14" s="1" a="1"/>
  <c r="I56" i="14" s="1"/>
  <c r="H8" i="14"/>
  <c r="H56" i="14" s="1" a="1"/>
  <c r="H56" i="14" s="1"/>
  <c r="G8" i="14"/>
  <c r="F8" i="14"/>
  <c r="E8" i="14"/>
  <c r="D8" i="14"/>
  <c r="D56" i="14" s="1" a="1"/>
  <c r="D56" i="14" s="1"/>
  <c r="C8" i="14"/>
  <c r="C56" i="14" s="1" a="1"/>
  <c r="C56" i="14" s="1"/>
  <c r="B8" i="14"/>
  <c r="J7" i="14"/>
  <c r="I7" i="14"/>
  <c r="H7" i="14"/>
  <c r="G7" i="14"/>
  <c r="F7" i="14"/>
  <c r="F55" i="14" s="1" a="1"/>
  <c r="F55" i="14" s="1"/>
  <c r="E7" i="14"/>
  <c r="D7" i="14"/>
  <c r="C7" i="14"/>
  <c r="C19" i="14" s="1" a="1"/>
  <c r="C19" i="14" s="1"/>
  <c r="G16" i="22" s="1" a="1"/>
  <c r="G16" i="22" s="1"/>
  <c r="B7" i="14"/>
  <c r="J6" i="14"/>
  <c r="I6" i="14"/>
  <c r="H6" i="14"/>
  <c r="H54" i="14" s="1" a="1"/>
  <c r="H54" i="14" s="1"/>
  <c r="G6" i="14"/>
  <c r="F6" i="14"/>
  <c r="E6" i="14"/>
  <c r="D6" i="14"/>
  <c r="C6" i="14"/>
  <c r="B6" i="14"/>
  <c r="B14" i="22" s="1" a="1"/>
  <c r="B14" i="22" s="1"/>
  <c r="J5" i="14"/>
  <c r="I5" i="14"/>
  <c r="H5" i="14"/>
  <c r="G5" i="14"/>
  <c r="F5" i="14"/>
  <c r="E5" i="14"/>
  <c r="D5" i="14"/>
  <c r="C5" i="14"/>
  <c r="B5" i="14"/>
  <c r="B53" i="14" s="1" a="1"/>
  <c r="B53" i="14" s="1"/>
  <c r="J4" i="14"/>
  <c r="J52" i="14" s="1" a="1"/>
  <c r="J52" i="14" s="1"/>
  <c r="I4" i="14"/>
  <c r="H4" i="14"/>
  <c r="G4" i="14"/>
  <c r="F4" i="14"/>
  <c r="T8" i="22" s="1" a="1"/>
  <c r="T8" i="22" s="1"/>
  <c r="E4" i="14"/>
  <c r="D4" i="14"/>
  <c r="D52" i="14" s="1" a="1"/>
  <c r="D52" i="14" s="1"/>
  <c r="C4" i="14"/>
  <c r="B4" i="14"/>
  <c r="J3" i="14"/>
  <c r="I3" i="14"/>
  <c r="I51" i="14" s="1" a="1"/>
  <c r="I51" i="14" s="1"/>
  <c r="H3" i="14"/>
  <c r="G3" i="14"/>
  <c r="F3" i="14"/>
  <c r="E3" i="14"/>
  <c r="E51" i="14" s="1" a="1"/>
  <c r="E51" i="14" s="1"/>
  <c r="D3" i="14"/>
  <c r="C3" i="14"/>
  <c r="B3" i="14"/>
  <c r="AI29" i="21"/>
  <c r="J11" i="13" s="1"/>
  <c r="AE29" i="21"/>
  <c r="I11" i="13" s="1"/>
  <c r="AA29" i="21"/>
  <c r="H11" i="13" s="1"/>
  <c r="H59" i="13" s="1" a="1"/>
  <c r="H59" i="13" s="1"/>
  <c r="W29" i="21"/>
  <c r="G11" i="13" s="1"/>
  <c r="S29" i="21"/>
  <c r="F11" i="13" s="1"/>
  <c r="O29" i="21"/>
  <c r="E11" i="13" s="1"/>
  <c r="E59" i="13" s="1" a="1"/>
  <c r="E59" i="13" s="1"/>
  <c r="K29" i="21"/>
  <c r="D11" i="13" s="1"/>
  <c r="G29" i="21"/>
  <c r="C11" i="13" s="1"/>
  <c r="C59" i="13" s="1" a="1"/>
  <c r="C59" i="13" s="1"/>
  <c r="C29" i="21"/>
  <c r="B11" i="13" s="1"/>
  <c r="AI26" i="21"/>
  <c r="J10" i="13" s="1"/>
  <c r="AE26" i="21"/>
  <c r="I10" i="13" s="1"/>
  <c r="AA26" i="21"/>
  <c r="H10" i="13" s="1"/>
  <c r="W26" i="21"/>
  <c r="G10" i="13" s="1"/>
  <c r="S26" i="21"/>
  <c r="F10" i="13" s="1"/>
  <c r="T26" i="21" s="1" a="1"/>
  <c r="T26" i="21" s="1"/>
  <c r="O26" i="21"/>
  <c r="E10" i="13" s="1"/>
  <c r="K26" i="21"/>
  <c r="D10" i="13" s="1"/>
  <c r="D58" i="13" s="1" a="1"/>
  <c r="D58" i="13" s="1"/>
  <c r="G26" i="21"/>
  <c r="C10" i="13" s="1"/>
  <c r="C26" i="21"/>
  <c r="B10" i="13" s="1"/>
  <c r="B58" i="13" s="1" a="1"/>
  <c r="B58" i="13" s="1"/>
  <c r="AI23" i="21"/>
  <c r="J9" i="13" s="1"/>
  <c r="AE23" i="21"/>
  <c r="I9" i="13" s="1"/>
  <c r="AE22" i="21" s="1" a="1"/>
  <c r="AE22" i="21" s="1"/>
  <c r="AA23" i="21"/>
  <c r="H9" i="13" s="1"/>
  <c r="W23" i="21"/>
  <c r="G9" i="13" s="1"/>
  <c r="S23" i="21"/>
  <c r="F9" i="13" s="1"/>
  <c r="F57" i="13" s="1" a="1"/>
  <c r="F57" i="13" s="1"/>
  <c r="O23" i="21"/>
  <c r="E9" i="13" s="1"/>
  <c r="K23" i="21"/>
  <c r="D9" i="13" s="1"/>
  <c r="G23" i="21"/>
  <c r="C9" i="13" s="1"/>
  <c r="C23" i="21"/>
  <c r="B9" i="13" s="1"/>
  <c r="AI20" i="21"/>
  <c r="J8" i="13" s="1"/>
  <c r="AE20" i="21"/>
  <c r="I8" i="13" s="1"/>
  <c r="AA20" i="21"/>
  <c r="H8" i="13" s="1"/>
  <c r="H56" i="13" s="1" a="1"/>
  <c r="H56" i="13" s="1"/>
  <c r="W20" i="21"/>
  <c r="G8" i="13" s="1"/>
  <c r="S20" i="21"/>
  <c r="F8" i="13" s="1"/>
  <c r="O20" i="21"/>
  <c r="E8" i="13" s="1"/>
  <c r="E56" i="13" s="1" a="1"/>
  <c r="E56" i="13" s="1"/>
  <c r="K20" i="21"/>
  <c r="D8" i="13" s="1"/>
  <c r="D56" i="13" s="1" a="1"/>
  <c r="D56" i="13" s="1"/>
  <c r="G20" i="21"/>
  <c r="C8" i="13" s="1"/>
  <c r="C20" i="21"/>
  <c r="B8" i="13" s="1"/>
  <c r="AI17" i="21"/>
  <c r="J7" i="13" s="1"/>
  <c r="AE17" i="21"/>
  <c r="I7" i="13" s="1"/>
  <c r="I55" i="13" s="1" a="1"/>
  <c r="I55" i="13" s="1"/>
  <c r="AA17" i="21"/>
  <c r="H7" i="13" s="1"/>
  <c r="W17" i="21"/>
  <c r="G7" i="13" s="1"/>
  <c r="S17" i="21"/>
  <c r="F7" i="13" s="1"/>
  <c r="O17" i="21"/>
  <c r="E7" i="13" s="1"/>
  <c r="N18" i="21" s="1" a="1"/>
  <c r="N18" i="21" s="1"/>
  <c r="K17" i="21"/>
  <c r="D7" i="13" s="1"/>
  <c r="G17" i="21"/>
  <c r="C7" i="13" s="1"/>
  <c r="C55" i="13" s="1" a="1"/>
  <c r="C55" i="13" s="1"/>
  <c r="C17" i="21"/>
  <c r="B7" i="13" s="1"/>
  <c r="AI14" i="21"/>
  <c r="J6" i="13" s="1"/>
  <c r="AE14" i="21"/>
  <c r="I6" i="13" s="1"/>
  <c r="AA14" i="21"/>
  <c r="H6" i="13" s="1"/>
  <c r="H54" i="13" s="1" a="1"/>
  <c r="H54" i="13" s="1"/>
  <c r="W14" i="21"/>
  <c r="G6" i="13" s="1"/>
  <c r="G54" i="13" s="1" a="1"/>
  <c r="G54" i="13" s="1"/>
  <c r="S14" i="21"/>
  <c r="F6" i="13" s="1"/>
  <c r="O14" i="21"/>
  <c r="E6" i="13" s="1"/>
  <c r="K14" i="21"/>
  <c r="D6" i="13" s="1"/>
  <c r="G14" i="21"/>
  <c r="C6" i="13" s="1"/>
  <c r="C14" i="21"/>
  <c r="B6" i="13" s="1"/>
  <c r="AI11" i="21"/>
  <c r="J5" i="13" s="1"/>
  <c r="J53" i="13" s="1" a="1"/>
  <c r="J53" i="13" s="1"/>
  <c r="AE11" i="21"/>
  <c r="I5" i="13" s="1"/>
  <c r="I53" i="13" s="1" a="1"/>
  <c r="I53" i="13" s="1"/>
  <c r="AA11" i="21"/>
  <c r="H5" i="13" s="1"/>
  <c r="H17" i="13" s="1" a="1"/>
  <c r="H17" i="13" s="1"/>
  <c r="W11" i="21"/>
  <c r="G5" i="13" s="1"/>
  <c r="S11" i="21"/>
  <c r="F5" i="13" s="1"/>
  <c r="F53" i="13" s="1" a="1"/>
  <c r="F53" i="13" s="1"/>
  <c r="O11" i="21"/>
  <c r="E5" i="13" s="1"/>
  <c r="E53" i="13" s="1" a="1"/>
  <c r="E53" i="13" s="1"/>
  <c r="K11" i="21"/>
  <c r="D5" i="13" s="1"/>
  <c r="G11" i="21"/>
  <c r="C5" i="13" s="1"/>
  <c r="G10" i="21" s="1" a="1"/>
  <c r="G10" i="21" s="1"/>
  <c r="C11" i="21"/>
  <c r="B5" i="13" s="1"/>
  <c r="AI8" i="21"/>
  <c r="J4" i="13" s="1"/>
  <c r="J52" i="13" s="1" a="1"/>
  <c r="J52" i="13" s="1"/>
  <c r="AE8" i="21"/>
  <c r="I4" i="13" s="1"/>
  <c r="AA8" i="21"/>
  <c r="H4" i="13" s="1"/>
  <c r="H52" i="13" s="1" a="1"/>
  <c r="H52" i="13" s="1"/>
  <c r="W8" i="21"/>
  <c r="G4" i="13" s="1"/>
  <c r="S8" i="21"/>
  <c r="F4" i="13" s="1"/>
  <c r="O8" i="21"/>
  <c r="E4" i="13" s="1"/>
  <c r="K8" i="21"/>
  <c r="D4" i="13" s="1"/>
  <c r="D52" i="13" s="1" a="1"/>
  <c r="D52" i="13" s="1"/>
  <c r="G8" i="21"/>
  <c r="C4" i="13" s="1"/>
  <c r="C8" i="21"/>
  <c r="B4" i="13" s="1"/>
  <c r="B9" i="21" s="1" a="1"/>
  <c r="B9" i="21" s="1"/>
  <c r="AI5" i="21"/>
  <c r="J3" i="13" s="1"/>
  <c r="AE5" i="21"/>
  <c r="I3" i="13" s="1"/>
  <c r="I51" i="13" s="1" a="1"/>
  <c r="I51" i="13" s="1"/>
  <c r="AA5" i="21"/>
  <c r="H3" i="13" s="1"/>
  <c r="W5" i="21"/>
  <c r="G3" i="13" s="1"/>
  <c r="S5" i="21"/>
  <c r="F3" i="13" s="1"/>
  <c r="O5" i="21"/>
  <c r="E3" i="13" s="1"/>
  <c r="K5" i="21"/>
  <c r="D3" i="13" s="1"/>
  <c r="D51" i="13" s="1" a="1"/>
  <c r="D51" i="13" s="1"/>
  <c r="G5" i="21"/>
  <c r="C3" i="13" s="1"/>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B3" i="9"/>
  <c r="C3" i="9"/>
  <c r="D3" i="9"/>
  <c r="F3" i="9"/>
  <c r="E6" i="12"/>
  <c r="I6" i="12"/>
  <c r="M6" i="12"/>
  <c r="Q6" i="12"/>
  <c r="U6" i="12"/>
  <c r="Y6" i="12"/>
  <c r="AC6" i="12"/>
  <c r="AG6" i="12"/>
  <c r="AK6" i="12"/>
  <c r="B4" i="9"/>
  <c r="E4" i="9"/>
  <c r="F4" i="9"/>
  <c r="G4" i="9"/>
  <c r="E9" i="12"/>
  <c r="I9" i="12"/>
  <c r="M9" i="12"/>
  <c r="Q9" i="12"/>
  <c r="U9" i="12"/>
  <c r="Y9" i="12"/>
  <c r="AC9" i="12"/>
  <c r="AG9" i="12"/>
  <c r="AK9" i="12"/>
  <c r="C5" i="9"/>
  <c r="D5" i="9"/>
  <c r="I5" i="9"/>
  <c r="AE10" i="12" s="1" a="1"/>
  <c r="AE10" i="12" s="1"/>
  <c r="E12" i="12"/>
  <c r="I12" i="12"/>
  <c r="M12" i="12"/>
  <c r="Q12" i="12"/>
  <c r="U12" i="12"/>
  <c r="Y12" i="12"/>
  <c r="AC12" i="12"/>
  <c r="AG12" i="12"/>
  <c r="AK12" i="12"/>
  <c r="B6" i="9"/>
  <c r="D14" i="12" s="1" a="1"/>
  <c r="D14" i="12" s="1"/>
  <c r="F6" i="9"/>
  <c r="J6" i="9"/>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J8" i="9"/>
  <c r="AI19" i="12" s="1" a="1"/>
  <c r="AI19" i="12" s="1"/>
  <c r="E21" i="12"/>
  <c r="I21" i="12"/>
  <c r="M21" i="12"/>
  <c r="Q21" i="12"/>
  <c r="U21" i="12"/>
  <c r="Y21" i="12"/>
  <c r="AC21" i="12"/>
  <c r="AG21" i="12"/>
  <c r="AK21" i="12"/>
  <c r="C9" i="9"/>
  <c r="H9" i="9"/>
  <c r="AB23" i="12" s="1" a="1"/>
  <c r="AB23" i="12" s="1"/>
  <c r="I9" i="9"/>
  <c r="AD23" i="12" s="1" a="1"/>
  <c r="AD23" i="12" s="1"/>
  <c r="E24" i="12"/>
  <c r="I24" i="12"/>
  <c r="M24" i="12"/>
  <c r="Q24" i="12"/>
  <c r="U24" i="12"/>
  <c r="Y24" i="12"/>
  <c r="AC24" i="12"/>
  <c r="AG24" i="12"/>
  <c r="AK24" i="12"/>
  <c r="E10" i="9"/>
  <c r="F10" i="9"/>
  <c r="G10" i="9"/>
  <c r="W25" i="12" s="1" a="1"/>
  <c r="W25" i="12" s="1"/>
  <c r="J10" i="9"/>
  <c r="AH26" i="12" s="1" a="1"/>
  <c r="AH26" i="12" s="1"/>
  <c r="E27" i="12"/>
  <c r="I27" i="12"/>
  <c r="M27" i="12"/>
  <c r="Q27" i="12"/>
  <c r="U27" i="12"/>
  <c r="Y27" i="12"/>
  <c r="AC27" i="12"/>
  <c r="AG27" i="12"/>
  <c r="AK27" i="12"/>
  <c r="F11" i="9"/>
  <c r="I11" i="9"/>
  <c r="J11" i="9"/>
  <c r="AJ30" i="12" s="1" a="1"/>
  <c r="AJ30" i="12" s="1"/>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5" i="10"/>
  <c r="B88" i="15" l="1" a="1"/>
  <c r="B88" i="15" s="1"/>
  <c r="B89" i="15" a="1"/>
  <c r="B89" i="15" s="1"/>
  <c r="E145" i="10"/>
  <c r="D45" i="8" s="1"/>
  <c r="D57" i="16" a="1"/>
  <c r="D57" i="16" s="1"/>
  <c r="D52" i="16" a="1"/>
  <c r="D52" i="16" s="1"/>
  <c r="B88" i="16" a="1"/>
  <c r="B88" i="16" s="1"/>
  <c r="B89" i="16" a="1"/>
  <c r="B89" i="16" s="1"/>
  <c r="B90" i="16" a="1"/>
  <c r="B90"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E75" i="10"/>
  <c r="E72" i="10"/>
  <c r="E73" i="10"/>
  <c r="E74" i="10"/>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J19" i="16" a="1"/>
  <c r="J19" i="16"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B20" i="16" a="1"/>
  <c r="B20" i="16"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I18" i="16" a="1"/>
  <c r="I18" i="16"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G16" i="16" a="1"/>
  <c r="G16" i="16" s="1"/>
  <c r="X7" i="24" s="1" a="1"/>
  <c r="X7" i="24"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F18" i="16" a="1"/>
  <c r="F18" i="16" s="1"/>
  <c r="J59" i="16" a="1"/>
  <c r="J59" i="16" s="1"/>
  <c r="H54" i="16" a="1"/>
  <c r="H54" i="16" s="1"/>
  <c r="F20" i="16" a="1"/>
  <c r="F20" i="16" s="1"/>
  <c r="E19" i="16" a="1"/>
  <c r="E19" i="16" s="1"/>
  <c r="D18" i="16" a="1"/>
  <c r="D18" i="16" s="1"/>
  <c r="J52" i="16" a="1"/>
  <c r="J52" i="16" s="1"/>
  <c r="F52" i="16" a="1"/>
  <c r="F52" i="16" s="1"/>
  <c r="B16" i="16" a="1"/>
  <c r="B16" i="16" s="1"/>
  <c r="J18" i="16" a="1"/>
  <c r="J18" i="16" s="1"/>
  <c r="C22" i="16" a="1"/>
  <c r="C22" i="16" s="1"/>
  <c r="C17" i="16" a="1"/>
  <c r="C17" i="16" s="1"/>
  <c r="H22" i="16" a="1"/>
  <c r="H22" i="16" s="1"/>
  <c r="I23" i="16" a="1"/>
  <c r="I23" i="16" s="1"/>
  <c r="G58" i="16" a="1"/>
  <c r="G58" i="16" s="1"/>
  <c r="C21" i="16" a="1"/>
  <c r="C21" i="16" s="1"/>
  <c r="G21" i="16" a="1"/>
  <c r="G21" i="16" s="1"/>
  <c r="G57" i="16" a="1"/>
  <c r="G57" i="16" s="1"/>
  <c r="E56" i="16" a="1"/>
  <c r="E56" i="16" s="1"/>
  <c r="D55" i="16" a="1"/>
  <c r="D55" i="16" s="1"/>
  <c r="C54" i="16" a="1"/>
  <c r="C54" i="16" s="1"/>
  <c r="B53" i="16" a="1"/>
  <c r="B53" i="16" s="1"/>
  <c r="E53" i="16" a="1"/>
  <c r="E53" i="16" s="1"/>
  <c r="D53" i="16" a="1"/>
  <c r="D53" i="16" s="1"/>
  <c r="F15" i="16" a="1"/>
  <c r="F15" i="16" s="1"/>
  <c r="H59" i="16" a="1"/>
  <c r="H59" i="16" s="1"/>
  <c r="J51" i="16" a="1"/>
  <c r="J51" i="16" s="1"/>
  <c r="B59" i="16" a="1"/>
  <c r="B59" i="16" s="1"/>
  <c r="I57" i="16" a="1"/>
  <c r="I57" i="16" s="1"/>
  <c r="B21" i="16" a="1"/>
  <c r="B21" i="16" s="1"/>
  <c r="H55" i="16" a="1"/>
  <c r="H55" i="16" s="1"/>
  <c r="G23" i="16" a="1"/>
  <c r="G23" i="16" s="1"/>
  <c r="X28" i="24" s="1" a="1"/>
  <c r="X28" i="24" s="1"/>
  <c r="G19" i="16" a="1"/>
  <c r="G19" i="16" s="1"/>
  <c r="G54" i="16" a="1"/>
  <c r="G54" i="16" s="1"/>
  <c r="F22" i="16" a="1"/>
  <c r="F22" i="16" s="1"/>
  <c r="I21" i="16" a="1"/>
  <c r="I21" i="16" s="1"/>
  <c r="J58" i="16" a="1"/>
  <c r="J58" i="16" s="1"/>
  <c r="H57" i="16" a="1"/>
  <c r="H57" i="16" s="1"/>
  <c r="D23" i="16" a="1"/>
  <c r="D23" i="16" s="1"/>
  <c r="J56" i="16" a="1"/>
  <c r="J56" i="16" s="1"/>
  <c r="C15" i="16" a="1"/>
  <c r="C15" i="16" s="1"/>
  <c r="J22" i="16" a="1"/>
  <c r="J22" i="16" s="1"/>
  <c r="G56" i="16" a="1"/>
  <c r="G56" i="16" s="1"/>
  <c r="I17" i="16" a="1"/>
  <c r="I17" i="16" s="1"/>
  <c r="G51" i="16" a="1"/>
  <c r="G51" i="16" s="1"/>
  <c r="I51" i="16" a="1"/>
  <c r="I51" i="16" s="1"/>
  <c r="F55" i="16" a="1"/>
  <c r="F55" i="16" s="1"/>
  <c r="H56" i="16" a="1"/>
  <c r="H56" i="16" s="1"/>
  <c r="E58" i="16" a="1"/>
  <c r="E58" i="16" s="1"/>
  <c r="B18" i="16" a="1"/>
  <c r="B1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B15" i="16" a="1"/>
  <c r="B15" i="16" s="1"/>
  <c r="G15" i="16" a="1"/>
  <c r="G15" i="16" s="1"/>
  <c r="C16" i="16" a="1"/>
  <c r="C16" i="16" s="1"/>
  <c r="H16" i="16" a="1"/>
  <c r="H16" i="16" s="1"/>
  <c r="D17" i="16" a="1"/>
  <c r="D17" i="16" s="1"/>
  <c r="E18" i="16" a="1"/>
  <c r="E18" i="16" s="1"/>
  <c r="F19" i="16" a="1"/>
  <c r="F19" i="16" s="1"/>
  <c r="G20" i="16" a="1"/>
  <c r="G20" i="16" s="1"/>
  <c r="H21" i="16" a="1"/>
  <c r="H21" i="16" s="1"/>
  <c r="D22" i="16" a="1"/>
  <c r="D22" i="16" s="1"/>
  <c r="J27" i="24" s="1" a="1"/>
  <c r="J27" i="24" s="1"/>
  <c r="I22" i="16" a="1"/>
  <c r="I22" i="16" s="1"/>
  <c r="E23" i="16" a="1"/>
  <c r="E23" i="16" s="1"/>
  <c r="J23" i="16" a="1"/>
  <c r="J23" i="16" s="1"/>
  <c r="AI30" i="24" s="1" a="1"/>
  <c r="AI30" i="24"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H15" i="16" a="1"/>
  <c r="H15" i="16" s="1"/>
  <c r="AB5" i="24" s="1" a="1"/>
  <c r="AB5" i="24" s="1"/>
  <c r="D16" i="16" a="1"/>
  <c r="D16" i="16" s="1"/>
  <c r="I16" i="16" a="1"/>
  <c r="I16" i="16" s="1"/>
  <c r="E17" i="16" a="1"/>
  <c r="E17" i="16" s="1"/>
  <c r="J17" i="16" a="1"/>
  <c r="J17" i="16" s="1"/>
  <c r="B19" i="16" a="1"/>
  <c r="B19" i="16" s="1"/>
  <c r="C20" i="16" a="1"/>
  <c r="C20" i="16" s="1"/>
  <c r="H20" i="16" a="1"/>
  <c r="H20" i="16" s="1"/>
  <c r="D21" i="16" a="1"/>
  <c r="D21" i="16" s="1"/>
  <c r="E22" i="16" a="1"/>
  <c r="E22" i="16" s="1"/>
  <c r="P27" i="24" s="1" a="1"/>
  <c r="P27" i="24" s="1"/>
  <c r="F23" i="16" a="1"/>
  <c r="F23" i="16" s="1"/>
  <c r="R29" i="24" s="1" a="1"/>
  <c r="R29" i="24" s="1"/>
  <c r="B51" i="16" a="1"/>
  <c r="B51" i="16" s="1"/>
  <c r="I53" i="16" a="1"/>
  <c r="I53" i="16" s="1"/>
  <c r="J54" i="16" a="1"/>
  <c r="J54" i="16" s="1"/>
  <c r="B56" i="16" a="1"/>
  <c r="B56" i="16" s="1"/>
  <c r="C57" i="16" a="1"/>
  <c r="C57" i="16" s="1"/>
  <c r="B66" i="16" a="1"/>
  <c r="B66" i="16" s="1"/>
  <c r="D15" i="16" a="1"/>
  <c r="D15" i="16" s="1"/>
  <c r="I15" i="16" a="1"/>
  <c r="I15" i="16" s="1"/>
  <c r="AF6" i="24" s="1" a="1"/>
  <c r="AF6" i="24" s="1"/>
  <c r="E16" i="16" a="1"/>
  <c r="E16" i="16" s="1"/>
  <c r="P7" i="24" s="1" a="1"/>
  <c r="P7" i="24" s="1"/>
  <c r="J16" i="16" a="1"/>
  <c r="J16" i="16" s="1"/>
  <c r="F17" i="16" a="1"/>
  <c r="F17" i="16" s="1"/>
  <c r="G18" i="16" a="1"/>
  <c r="G18" i="16" s="1"/>
  <c r="C19" i="16" a="1"/>
  <c r="C19" i="16" s="1"/>
  <c r="H19" i="16" a="1"/>
  <c r="H19" i="16" s="1"/>
  <c r="D20" i="16" a="1"/>
  <c r="D20" i="16" s="1"/>
  <c r="I20" i="16" a="1"/>
  <c r="I20" i="16" s="1"/>
  <c r="E21" i="16" a="1"/>
  <c r="E21" i="16" s="1"/>
  <c r="J21" i="16" a="1"/>
  <c r="J21" i="16" s="1"/>
  <c r="B23" i="16" a="1"/>
  <c r="B23" i="16" s="1"/>
  <c r="B62" i="16" a="1"/>
  <c r="B62" i="16" s="1"/>
  <c r="E15" i="16" a="1"/>
  <c r="E15" i="16" s="1"/>
  <c r="J15" i="16" a="1"/>
  <c r="J15" i="16" s="1"/>
  <c r="F16" i="16" a="1"/>
  <c r="F16" i="16" s="1"/>
  <c r="B17" i="16" a="1"/>
  <c r="B17" i="16" s="1"/>
  <c r="G17" i="16" a="1"/>
  <c r="G17" i="16" s="1"/>
  <c r="C18" i="16" a="1"/>
  <c r="C18" i="16" s="1"/>
  <c r="H18" i="16" a="1"/>
  <c r="H18" i="16" s="1"/>
  <c r="D19" i="16" a="1"/>
  <c r="D19" i="16" s="1"/>
  <c r="I19" i="16" a="1"/>
  <c r="I19" i="16" s="1"/>
  <c r="E20" i="16" a="1"/>
  <c r="E20" i="16" s="1"/>
  <c r="J20" i="16" a="1"/>
  <c r="J20" i="16" s="1"/>
  <c r="F21" i="16" a="1"/>
  <c r="F21" i="16" s="1"/>
  <c r="B22" i="16" a="1"/>
  <c r="B22" i="16" s="1"/>
  <c r="B27" i="24" s="1" a="1"/>
  <c r="B27" i="24" s="1"/>
  <c r="G22" i="16" a="1"/>
  <c r="G22" i="16" s="1"/>
  <c r="W25" i="24" s="1" a="1"/>
  <c r="W25" i="24" s="1"/>
  <c r="C23" i="16" a="1"/>
  <c r="C23" i="16" s="1"/>
  <c r="G30" i="24" s="1" a="1"/>
  <c r="G30" i="24" s="1"/>
  <c r="H23" i="16" a="1"/>
  <c r="H23"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D135" i="10" l="1"/>
  <c r="E135" i="10" s="1"/>
  <c r="AM5" i="21" a="1"/>
  <c r="AM5" i="21" s="1"/>
  <c r="AM5" i="22" a="1"/>
  <c r="AM5" i="22" s="1"/>
  <c r="AM5" i="23" a="1"/>
  <c r="AM5" i="23" s="1"/>
  <c r="AM5" i="24" a="1"/>
  <c r="AM5" i="24" s="1"/>
  <c r="AH29" i="24" a="1"/>
  <c r="AH29" i="24" s="1"/>
  <c r="AH30" i="24" a="1"/>
  <c r="AH30" i="24" s="1"/>
  <c r="AJ30" i="24" a="1"/>
  <c r="AJ30" i="24" s="1"/>
  <c r="AI28" i="24" a="1"/>
  <c r="AI28" i="24" s="1"/>
  <c r="AJ28" i="24" a="1"/>
  <c r="AJ28" i="24" s="1"/>
  <c r="AJ29" i="24" a="1"/>
  <c r="AJ29" i="24" s="1"/>
  <c r="AD29" i="24" a="1"/>
  <c r="AD29" i="24" s="1"/>
  <c r="AF29" i="24" a="1"/>
  <c r="AF29" i="24" s="1"/>
  <c r="AF28" i="24" a="1"/>
  <c r="AF28" i="24" s="1"/>
  <c r="AD30" i="24" a="1"/>
  <c r="AD30" i="24" s="1"/>
  <c r="AE30" i="24" a="1"/>
  <c r="AE30" i="24" s="1"/>
  <c r="AF30" i="24" a="1"/>
  <c r="AF30" i="24" s="1"/>
  <c r="AE28" i="24" a="1"/>
  <c r="AE28" i="24" s="1"/>
  <c r="T29" i="24" a="1"/>
  <c r="T29" i="24" s="1"/>
  <c r="S28" i="24" a="1"/>
  <c r="S28" i="24" s="1"/>
  <c r="T28" i="24" a="1"/>
  <c r="T28" i="24" s="1"/>
  <c r="S30" i="24" a="1"/>
  <c r="S30" i="24" s="1"/>
  <c r="R30" i="24" a="1"/>
  <c r="R30" i="24" s="1"/>
  <c r="T30" i="24" a="1"/>
  <c r="T30" i="24" s="1"/>
  <c r="V26" i="24" a="1"/>
  <c r="V26" i="24" s="1"/>
  <c r="V27" i="24" a="1"/>
  <c r="V27" i="24" s="1"/>
  <c r="X26" i="24" a="1"/>
  <c r="X26" i="24" s="1"/>
  <c r="X25" i="24" a="1"/>
  <c r="X25" i="24" s="1"/>
  <c r="W27" i="24" a="1"/>
  <c r="W27" i="24" s="1"/>
  <c r="X27" i="24" a="1"/>
  <c r="X27" i="24" s="1"/>
  <c r="T26" i="24" a="1"/>
  <c r="T26" i="24" s="1"/>
  <c r="S27" i="24" a="1"/>
  <c r="S27" i="24" s="1"/>
  <c r="S25" i="24" a="1"/>
  <c r="S25" i="24" s="1"/>
  <c r="T25" i="24" a="1"/>
  <c r="T25" i="24" s="1"/>
  <c r="R27" i="24" a="1"/>
  <c r="R27" i="24" s="1"/>
  <c r="T27" i="24" a="1"/>
  <c r="T27" i="24" s="1"/>
  <c r="R26" i="24" a="1"/>
  <c r="R26" i="24" s="1"/>
  <c r="O25" i="24" a="1"/>
  <c r="O25" i="24" s="1"/>
  <c r="P25" i="24" a="1"/>
  <c r="P25" i="24" s="1"/>
  <c r="P26" i="24" a="1"/>
  <c r="P26" i="24" s="1"/>
  <c r="N27" i="24" a="1"/>
  <c r="N27" i="24" s="1"/>
  <c r="O27" i="24" a="1"/>
  <c r="O27" i="24" s="1"/>
  <c r="N26" i="24" a="1"/>
  <c r="N26" i="24" s="1"/>
  <c r="AB24" i="24" a="1"/>
  <c r="AB24" i="24" s="1"/>
  <c r="Z24" i="24" a="1"/>
  <c r="Z24" i="24" s="1"/>
  <c r="AA24" i="24" a="1"/>
  <c r="AA24" i="24" s="1"/>
  <c r="AA22" i="24" a="1"/>
  <c r="AA22" i="24" s="1"/>
  <c r="AB22" i="24" a="1"/>
  <c r="AB22" i="24" s="1"/>
  <c r="Z23" i="24" a="1"/>
  <c r="Z23" i="24" s="1"/>
  <c r="AB23" i="24" a="1"/>
  <c r="AB23" i="24" s="1"/>
  <c r="F24" i="24" a="1"/>
  <c r="F24" i="24" s="1"/>
  <c r="F23" i="24" a="1"/>
  <c r="F23" i="24" s="1"/>
  <c r="G24" i="24" a="1"/>
  <c r="G24" i="24" s="1"/>
  <c r="H23" i="24" a="1"/>
  <c r="H23" i="24" s="1"/>
  <c r="H24" i="24" a="1"/>
  <c r="H24" i="24" s="1"/>
  <c r="G22" i="24" a="1"/>
  <c r="G22" i="24" s="1"/>
  <c r="H22" i="24" a="1"/>
  <c r="H22" i="24" s="1"/>
  <c r="AI19" i="24" a="1"/>
  <c r="AI19" i="24" s="1"/>
  <c r="AJ20" i="24" a="1"/>
  <c r="AJ20" i="24" s="1"/>
  <c r="AH20" i="24" a="1"/>
  <c r="AH20" i="24" s="1"/>
  <c r="AH21" i="24" a="1"/>
  <c r="AH21" i="24" s="1"/>
  <c r="AJ21" i="24" a="1"/>
  <c r="AJ21" i="24" s="1"/>
  <c r="AJ19" i="24" a="1"/>
  <c r="AJ19" i="24" s="1"/>
  <c r="AI21" i="24" a="1"/>
  <c r="AI21" i="24" s="1"/>
  <c r="T19" i="24" a="1"/>
  <c r="T19" i="24" s="1"/>
  <c r="R20" i="24" a="1"/>
  <c r="R20" i="24" s="1"/>
  <c r="T20" i="24" a="1"/>
  <c r="T20" i="24" s="1"/>
  <c r="R21" i="24" a="1"/>
  <c r="R21" i="24" s="1"/>
  <c r="S21" i="24" a="1"/>
  <c r="S21" i="24" s="1"/>
  <c r="T21" i="24" a="1"/>
  <c r="T21" i="24" s="1"/>
  <c r="S19" i="24" a="1"/>
  <c r="S19" i="24" s="1"/>
  <c r="W16" i="24" a="1"/>
  <c r="W16" i="24" s="1"/>
  <c r="X16" i="24" a="1"/>
  <c r="X16" i="24" s="1"/>
  <c r="V17" i="24" a="1"/>
  <c r="V17" i="24" s="1"/>
  <c r="V18" i="24" a="1"/>
  <c r="V18" i="24" s="1"/>
  <c r="X17" i="24" a="1"/>
  <c r="X17" i="24" s="1"/>
  <c r="W18" i="24" a="1"/>
  <c r="W18" i="24" s="1"/>
  <c r="X18" i="24" a="1"/>
  <c r="X18" i="24" s="1"/>
  <c r="P18" i="24" a="1"/>
  <c r="P18" i="24" s="1"/>
  <c r="O16" i="24" a="1"/>
  <c r="O16" i="24" s="1"/>
  <c r="P16" i="24" a="1"/>
  <c r="P16" i="24" s="1"/>
  <c r="N17" i="24" a="1"/>
  <c r="N17" i="24" s="1"/>
  <c r="P17" i="24" a="1"/>
  <c r="P17" i="24" s="1"/>
  <c r="N18" i="24" a="1"/>
  <c r="N18" i="24" s="1"/>
  <c r="O18" i="24" a="1"/>
  <c r="O18" i="24" s="1"/>
  <c r="B17" i="24" a="1"/>
  <c r="B17" i="24" s="1"/>
  <c r="D17" i="24" a="1"/>
  <c r="D17" i="24" s="1"/>
  <c r="B18" i="24" a="1"/>
  <c r="B18" i="24" s="1"/>
  <c r="C16" i="24" a="1"/>
  <c r="C16" i="24" s="1"/>
  <c r="C18" i="24" a="1"/>
  <c r="C18" i="24" s="1"/>
  <c r="D16" i="24" a="1"/>
  <c r="D16" i="24" s="1"/>
  <c r="D18" i="24" a="1"/>
  <c r="D18" i="24" s="1"/>
  <c r="AJ15" i="24" a="1"/>
  <c r="AJ15" i="24" s="1"/>
  <c r="AI13" i="24" a="1"/>
  <c r="AI13" i="24" s="1"/>
  <c r="AH14" i="24" a="1"/>
  <c r="AH14" i="24" s="1"/>
  <c r="AH15" i="24" a="1"/>
  <c r="AH15" i="24" s="1"/>
  <c r="AI15" i="24" a="1"/>
  <c r="AI15" i="24" s="1"/>
  <c r="AJ13" i="24" a="1"/>
  <c r="AJ13" i="24" s="1"/>
  <c r="AJ14" i="24" a="1"/>
  <c r="AJ14" i="24" s="1"/>
  <c r="S13" i="24" a="1"/>
  <c r="S13" i="24" s="1"/>
  <c r="T13" i="24" a="1"/>
  <c r="T13" i="24" s="1"/>
  <c r="R14" i="24" a="1"/>
  <c r="R14" i="24" s="1"/>
  <c r="R15" i="24" a="1"/>
  <c r="R15" i="24" s="1"/>
  <c r="T14" i="24" a="1"/>
  <c r="T14" i="24" s="1"/>
  <c r="S15" i="24" a="1"/>
  <c r="S15" i="24" s="1"/>
  <c r="T15" i="24" a="1"/>
  <c r="T15" i="24" s="1"/>
  <c r="B15" i="24" a="1"/>
  <c r="B15" i="24" s="1"/>
  <c r="B14" i="24" a="1"/>
  <c r="B14" i="24" s="1"/>
  <c r="C15" i="24" a="1"/>
  <c r="C15" i="24" s="1"/>
  <c r="D14" i="24" a="1"/>
  <c r="D14" i="24" s="1"/>
  <c r="D15" i="24" a="1"/>
  <c r="D15" i="24" s="1"/>
  <c r="C13" i="24" a="1"/>
  <c r="C13" i="24" s="1"/>
  <c r="D13" i="24" a="1"/>
  <c r="D13" i="24" s="1"/>
  <c r="AE12" i="24" a="1"/>
  <c r="AE12" i="24" s="1"/>
  <c r="AF12" i="24" a="1"/>
  <c r="AF12" i="24" s="1"/>
  <c r="AF10" i="24" a="1"/>
  <c r="AF10" i="24" s="1"/>
  <c r="AE10" i="24" a="1"/>
  <c r="AE10" i="24" s="1"/>
  <c r="AD12" i="24" a="1"/>
  <c r="AD12" i="24" s="1"/>
  <c r="AD11" i="24" a="1"/>
  <c r="AD11" i="24" s="1"/>
  <c r="AF11" i="24" a="1"/>
  <c r="AF11" i="24" s="1"/>
  <c r="F12" i="24" a="1"/>
  <c r="F12" i="24" s="1"/>
  <c r="F11" i="24" a="1"/>
  <c r="F11" i="24" s="1"/>
  <c r="G12" i="24" a="1"/>
  <c r="G12" i="24" s="1"/>
  <c r="H11" i="24" a="1"/>
  <c r="H11" i="24" s="1"/>
  <c r="H12" i="24" a="1"/>
  <c r="H12" i="24" s="1"/>
  <c r="G10" i="24" a="1"/>
  <c r="G10" i="24" s="1"/>
  <c r="H10" i="24" a="1"/>
  <c r="H10" i="24" s="1"/>
  <c r="W7" i="24" a="1"/>
  <c r="W7" i="24" s="1"/>
  <c r="V8" i="24" a="1"/>
  <c r="V8" i="24" s="1"/>
  <c r="W9" i="24" a="1"/>
  <c r="W9" i="24" s="1"/>
  <c r="V9" i="24" a="1"/>
  <c r="V9" i="24" s="1"/>
  <c r="X8" i="24" a="1"/>
  <c r="X8" i="24" s="1"/>
  <c r="X9" i="24" a="1"/>
  <c r="X9" i="24" s="1"/>
  <c r="N9" i="24" a="1"/>
  <c r="N9" i="24" s="1"/>
  <c r="O9" i="24" a="1"/>
  <c r="O9" i="24" s="1"/>
  <c r="O7" i="24" a="1"/>
  <c r="O7" i="24" s="1"/>
  <c r="P9" i="24" a="1"/>
  <c r="P9" i="24" s="1"/>
  <c r="N8" i="24" a="1"/>
  <c r="N8" i="24" s="1"/>
  <c r="P8" i="24" a="1"/>
  <c r="P8" i="24" s="1"/>
  <c r="C7" i="24" a="1"/>
  <c r="C7" i="24" s="1"/>
  <c r="C9" i="24" a="1"/>
  <c r="C9" i="24" s="1"/>
  <c r="D7" i="24" a="1"/>
  <c r="D7" i="24" s="1"/>
  <c r="D9" i="24" a="1"/>
  <c r="D9" i="24" s="1"/>
  <c r="B8" i="24" a="1"/>
  <c r="B8" i="24" s="1"/>
  <c r="D8" i="24" a="1"/>
  <c r="D8" i="24" s="1"/>
  <c r="B9" i="24" a="1"/>
  <c r="B9" i="24" s="1"/>
  <c r="S6" i="24" a="1"/>
  <c r="S6" i="24" s="1"/>
  <c r="R6" i="24" a="1"/>
  <c r="R6" i="24" s="1"/>
  <c r="S4" i="24" a="1"/>
  <c r="S4" i="24" s="1"/>
  <c r="T6" i="24" a="1"/>
  <c r="T6" i="24" s="1"/>
  <c r="T4" i="24" a="1"/>
  <c r="T4" i="24" s="1"/>
  <c r="R5" i="24" a="1"/>
  <c r="R5" i="24" s="1"/>
  <c r="T5" i="24" a="1"/>
  <c r="T5" i="24" s="1"/>
  <c r="G4" i="24" a="1"/>
  <c r="G4" i="24" s="1"/>
  <c r="H4" i="24" a="1"/>
  <c r="H4" i="24" s="1"/>
  <c r="F6" i="24" a="1"/>
  <c r="F6" i="24" s="1"/>
  <c r="G6" i="24" a="1"/>
  <c r="G6" i="24" s="1"/>
  <c r="H6" i="24" a="1"/>
  <c r="H6" i="24" s="1"/>
  <c r="F5" i="24" a="1"/>
  <c r="F5" i="24" s="1"/>
  <c r="H5" i="24" a="1"/>
  <c r="H5"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G21" i="24" a="1"/>
  <c r="G21" i="24" s="1"/>
  <c r="H21" i="24" a="1"/>
  <c r="H21" i="24" s="1"/>
  <c r="H19" i="24" a="1"/>
  <c r="H19" i="24" s="1"/>
  <c r="F20" i="24" a="1"/>
  <c r="F20" i="24" s="1"/>
  <c r="F21" i="24" a="1"/>
  <c r="F21" i="24" s="1"/>
  <c r="H20" i="24" a="1"/>
  <c r="H20" i="24" s="1"/>
  <c r="G19" i="24" a="1"/>
  <c r="G19" i="24" s="1"/>
  <c r="AB7" i="24" a="1"/>
  <c r="AB7" i="24" s="1"/>
  <c r="Z9" i="24" a="1"/>
  <c r="Z9" i="24" s="1"/>
  <c r="Z8" i="24" a="1"/>
  <c r="Z8" i="24" s="1"/>
  <c r="AB8" i="24" a="1"/>
  <c r="AB8" i="24" s="1"/>
  <c r="AA9" i="24" a="1"/>
  <c r="AA9" i="24" s="1"/>
  <c r="AB9" i="24" a="1"/>
  <c r="AB9" i="24" s="1"/>
  <c r="AA7" i="24" a="1"/>
  <c r="AA7" i="24" s="1"/>
  <c r="AB17" i="24" a="1"/>
  <c r="AB17" i="24" s="1"/>
  <c r="Z18" i="24" a="1"/>
  <c r="Z18" i="24" s="1"/>
  <c r="AA18" i="24" a="1"/>
  <c r="AA18" i="24" s="1"/>
  <c r="AA16" i="24" a="1"/>
  <c r="AA16" i="24" s="1"/>
  <c r="AB16" i="24" a="1"/>
  <c r="AB16" i="24" s="1"/>
  <c r="AB18" i="24" a="1"/>
  <c r="AB18" i="24" s="1"/>
  <c r="Z17" i="24" a="1"/>
  <c r="Z17" i="24" s="1"/>
  <c r="G7" i="24" a="1"/>
  <c r="G7" i="24" s="1"/>
  <c r="F9" i="24" a="1"/>
  <c r="F9" i="24" s="1"/>
  <c r="H7" i="24" a="1"/>
  <c r="H7" i="24" s="1"/>
  <c r="G9" i="24" a="1"/>
  <c r="G9" i="24" s="1"/>
  <c r="H9" i="24" a="1"/>
  <c r="H9" i="24" s="1"/>
  <c r="F8" i="24" a="1"/>
  <c r="F8" i="24" s="1"/>
  <c r="H8" i="24" a="1"/>
  <c r="H8" i="24" s="1"/>
  <c r="C27" i="24" a="1"/>
  <c r="C27" i="24" s="1"/>
  <c r="N21" i="24" a="1"/>
  <c r="N21" i="24" s="1"/>
  <c r="O21" i="24" a="1"/>
  <c r="O21" i="24" s="1"/>
  <c r="O19" i="24" a="1"/>
  <c r="O19" i="24" s="1"/>
  <c r="P21" i="24" a="1"/>
  <c r="P21" i="24" s="1"/>
  <c r="P20" i="24" a="1"/>
  <c r="P20" i="24" s="1"/>
  <c r="N20" i="24" a="1"/>
  <c r="N20" i="24" s="1"/>
  <c r="P19" i="24" a="1"/>
  <c r="P19" i="24" s="1"/>
  <c r="AE16" i="24" a="1"/>
  <c r="AE16" i="24" s="1"/>
  <c r="AD17" i="24" a="1"/>
  <c r="AD17" i="24" s="1"/>
  <c r="AF18" i="24" a="1"/>
  <c r="AF18" i="24" s="1"/>
  <c r="AF17" i="24" a="1"/>
  <c r="AF17" i="24" s="1"/>
  <c r="AF16" i="24" a="1"/>
  <c r="AF16" i="24" s="1"/>
  <c r="AD18" i="24" a="1"/>
  <c r="AD18" i="24" s="1"/>
  <c r="AE18" i="24" a="1"/>
  <c r="AE18" i="24" s="1"/>
  <c r="K18" i="24" a="1"/>
  <c r="K18" i="24" s="1"/>
  <c r="L18" i="24" a="1"/>
  <c r="L18" i="24" s="1"/>
  <c r="K16" i="24" a="1"/>
  <c r="K16" i="24" s="1"/>
  <c r="J17" i="24" a="1"/>
  <c r="J17" i="24" s="1"/>
  <c r="L16" i="24" a="1"/>
  <c r="L16" i="24" s="1"/>
  <c r="L17" i="24" a="1"/>
  <c r="L17" i="24" s="1"/>
  <c r="J18" i="24" a="1"/>
  <c r="J18" i="24" s="1"/>
  <c r="Z6" i="24" a="1"/>
  <c r="Z6" i="24" s="1"/>
  <c r="AA6" i="24" a="1"/>
  <c r="AA6" i="24" s="1"/>
  <c r="AB6" i="24" a="1"/>
  <c r="AB6" i="24" s="1"/>
  <c r="Z5" i="24" a="1"/>
  <c r="Z5" i="24" s="1"/>
  <c r="L29" i="24" a="1"/>
  <c r="L29" i="24" s="1"/>
  <c r="J30" i="24" a="1"/>
  <c r="J30" i="24" s="1"/>
  <c r="K30" i="24" a="1"/>
  <c r="K30" i="24" s="1"/>
  <c r="K28" i="24" a="1"/>
  <c r="K28" i="24" s="1"/>
  <c r="L30" i="24" a="1"/>
  <c r="L30" i="24" s="1"/>
  <c r="L28" i="24" a="1"/>
  <c r="L28" i="24" s="1"/>
  <c r="J29" i="24" a="1"/>
  <c r="J29" i="24" s="1"/>
  <c r="V11" i="24" a="1"/>
  <c r="V11" i="24" s="1"/>
  <c r="X11" i="24" a="1"/>
  <c r="X11" i="24" s="1"/>
  <c r="V12" i="24" a="1"/>
  <c r="V12" i="24" s="1"/>
  <c r="W10" i="24" a="1"/>
  <c r="W10" i="24" s="1"/>
  <c r="W12" i="24" a="1"/>
  <c r="W12" i="24" s="1"/>
  <c r="X10" i="24" a="1"/>
  <c r="X10" i="24" s="1"/>
  <c r="X12" i="24" a="1"/>
  <c r="X12" i="24" s="1"/>
  <c r="B12" i="24" a="1"/>
  <c r="B12" i="24" s="1"/>
  <c r="C12" i="24" a="1"/>
  <c r="C12" i="24" s="1"/>
  <c r="C10" i="24" a="1"/>
  <c r="C10" i="24" s="1"/>
  <c r="D10" i="24" a="1"/>
  <c r="D10" i="24" s="1"/>
  <c r="D12" i="24" a="1"/>
  <c r="D12" i="24" s="1"/>
  <c r="B11" i="24" a="1"/>
  <c r="B11" i="24" s="1"/>
  <c r="D11" i="24" a="1"/>
  <c r="D11" i="24" s="1"/>
  <c r="D27" i="24" a="1"/>
  <c r="D27" i="24" s="1"/>
  <c r="D26" i="24" a="1"/>
  <c r="D26" i="24" s="1"/>
  <c r="C25" i="24" a="1"/>
  <c r="C25" i="24" s="1"/>
  <c r="D25" i="24" a="1"/>
  <c r="D25" i="24" s="1"/>
  <c r="AH5" i="24" a="1"/>
  <c r="AH5" i="24" s="1"/>
  <c r="AH6" i="24" a="1"/>
  <c r="AH6" i="24" s="1"/>
  <c r="AJ5" i="24" a="1"/>
  <c r="AJ5" i="24" s="1"/>
  <c r="AI6" i="24" a="1"/>
  <c r="AI6" i="24" s="1"/>
  <c r="AI4" i="24" a="1"/>
  <c r="AI4" i="24" s="1"/>
  <c r="AJ6" i="24" a="1"/>
  <c r="AJ6" i="24" s="1"/>
  <c r="AJ4" i="24" a="1"/>
  <c r="AJ4" i="24" s="1"/>
  <c r="G16" i="24" a="1"/>
  <c r="G16" i="24" s="1"/>
  <c r="H16" i="24" a="1"/>
  <c r="H16" i="24" s="1"/>
  <c r="F17" i="24" a="1"/>
  <c r="F17" i="24" s="1"/>
  <c r="F18" i="24" a="1"/>
  <c r="F18" i="24" s="1"/>
  <c r="H18" i="24" a="1"/>
  <c r="H18" i="24" s="1"/>
  <c r="H17" i="24" a="1"/>
  <c r="H17" i="24" s="1"/>
  <c r="G18" i="24" a="1"/>
  <c r="G18" i="24" s="1"/>
  <c r="AI12" i="24" a="1"/>
  <c r="AI12" i="24" s="1"/>
  <c r="AJ12" i="24" a="1"/>
  <c r="AJ12" i="24" s="1"/>
  <c r="AI10" i="24" a="1"/>
  <c r="AI10" i="24" s="1"/>
  <c r="AJ10" i="24" a="1"/>
  <c r="AJ10" i="24" s="1"/>
  <c r="AH11" i="24" a="1"/>
  <c r="AH11" i="24" s="1"/>
  <c r="AH12" i="24" a="1"/>
  <c r="AH12" i="24" s="1"/>
  <c r="AJ11" i="24" a="1"/>
  <c r="AJ11" i="24" s="1"/>
  <c r="P28" i="24" a="1"/>
  <c r="P28" i="24" s="1"/>
  <c r="N29" i="24" a="1"/>
  <c r="N29" i="24" s="1"/>
  <c r="O30" i="24" a="1"/>
  <c r="O30" i="24" s="1"/>
  <c r="P29" i="24" a="1"/>
  <c r="P29" i="24" s="1"/>
  <c r="P30" i="24" a="1"/>
  <c r="P30"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D28" i="24" a="1"/>
  <c r="D28" i="24" s="1"/>
  <c r="B30" i="24" a="1"/>
  <c r="B30" i="24" s="1"/>
  <c r="B29" i="24" a="1"/>
  <c r="B29" i="24" s="1"/>
  <c r="C30" i="24" a="1"/>
  <c r="C30" i="24" s="1"/>
  <c r="D29" i="24" a="1"/>
  <c r="D29" i="24" s="1"/>
  <c r="D30" i="24" a="1"/>
  <c r="D30" i="24" s="1"/>
  <c r="W19" i="24" a="1"/>
  <c r="W19" i="24" s="1"/>
  <c r="X19" i="24" a="1"/>
  <c r="X19" i="24" s="1"/>
  <c r="V20" i="24" a="1"/>
  <c r="V20" i="24" s="1"/>
  <c r="X20" i="24" a="1"/>
  <c r="X20" i="24" s="1"/>
  <c r="V21" i="24" a="1"/>
  <c r="V21" i="24" s="1"/>
  <c r="X21" i="24" a="1"/>
  <c r="X21" i="24" s="1"/>
  <c r="W21" i="24" a="1"/>
  <c r="W21" i="24" s="1"/>
  <c r="H30" i="24" a="1"/>
  <c r="H30" i="24" s="1"/>
  <c r="G28" i="24" a="1"/>
  <c r="G28" i="24" s="1"/>
  <c r="H28" i="24" a="1"/>
  <c r="H28" i="24" s="1"/>
  <c r="F29" i="24" a="1"/>
  <c r="F29" i="24" s="1"/>
  <c r="H29" i="24" a="1"/>
  <c r="H29" i="24" s="1"/>
  <c r="F30" i="24" a="1"/>
  <c r="F30" i="24" s="1"/>
  <c r="AF19" i="24" a="1"/>
  <c r="AF19" i="24" s="1"/>
  <c r="AD20" i="24" a="1"/>
  <c r="AD20" i="24" s="1"/>
  <c r="AF20" i="24" a="1"/>
  <c r="AF20" i="24" s="1"/>
  <c r="AF21" i="24" a="1"/>
  <c r="AF21" i="24" s="1"/>
  <c r="AE19" i="24" a="1"/>
  <c r="AE19" i="24" s="1"/>
  <c r="AD21" i="24" a="1"/>
  <c r="AD21" i="24" s="1"/>
  <c r="AE21" i="24" a="1"/>
  <c r="AE21" i="24" s="1"/>
  <c r="L19" i="24" a="1"/>
  <c r="L19" i="24" s="1"/>
  <c r="J20" i="24" a="1"/>
  <c r="J20" i="24" s="1"/>
  <c r="L20" i="24" a="1"/>
  <c r="L20" i="24" s="1"/>
  <c r="K21" i="24" a="1"/>
  <c r="K21" i="24" s="1"/>
  <c r="L21" i="24" a="1"/>
  <c r="L21" i="24" s="1"/>
  <c r="J21" i="24" a="1"/>
  <c r="J21" i="24" s="1"/>
  <c r="K19" i="24" a="1"/>
  <c r="K19" i="24" s="1"/>
  <c r="S22" i="24" a="1"/>
  <c r="S22" i="24" s="1"/>
  <c r="S24" i="24" a="1"/>
  <c r="S24" i="24" s="1"/>
  <c r="R23" i="24" a="1"/>
  <c r="R23" i="24" s="1"/>
  <c r="T24" i="24" a="1"/>
  <c r="T24" i="24" s="1"/>
  <c r="T23" i="24" a="1"/>
  <c r="T23" i="24" s="1"/>
  <c r="T22" i="24" a="1"/>
  <c r="T22" i="24" s="1"/>
  <c r="R24" i="24" a="1"/>
  <c r="R24" i="24" s="1"/>
  <c r="N5" i="24" a="1"/>
  <c r="N5" i="24" s="1"/>
  <c r="P5" i="24" a="1"/>
  <c r="P5" i="24" s="1"/>
  <c r="N6" i="24" a="1"/>
  <c r="N6" i="24" s="1"/>
  <c r="O6" i="24" a="1"/>
  <c r="O6" i="24" s="1"/>
  <c r="P6" i="24" a="1"/>
  <c r="P6" i="24" s="1"/>
  <c r="O4" i="24" a="1"/>
  <c r="O4" i="24" s="1"/>
  <c r="P4" i="24" a="1"/>
  <c r="P4"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E25" i="24" a="1"/>
  <c r="AE25" i="24" s="1"/>
  <c r="AF25" i="24" a="1"/>
  <c r="AF25" i="24" s="1"/>
  <c r="AD26" i="24" a="1"/>
  <c r="AD26" i="24" s="1"/>
  <c r="AF26" i="24" a="1"/>
  <c r="AF26" i="24" s="1"/>
  <c r="AD27" i="24" a="1"/>
  <c r="AD27" i="24" s="1"/>
  <c r="AE27" i="24" a="1"/>
  <c r="AE27" i="24" s="1"/>
  <c r="V30" i="24" a="1"/>
  <c r="V30" i="24" s="1"/>
  <c r="W30" i="24" a="1"/>
  <c r="W30" i="24" s="1"/>
  <c r="X30" i="24" a="1"/>
  <c r="X30" i="24" s="1"/>
  <c r="W28" i="24" a="1"/>
  <c r="W28" i="24" s="1"/>
  <c r="V29" i="24" a="1"/>
  <c r="V29" i="24" s="1"/>
  <c r="N30" i="24" a="1"/>
  <c r="N30" i="24" s="1"/>
  <c r="C28" i="24" a="1"/>
  <c r="C28" i="24" s="1"/>
  <c r="S10" i="24" a="1"/>
  <c r="S10" i="24" s="1"/>
  <c r="T10" i="24" a="1"/>
  <c r="T10" i="24" s="1"/>
  <c r="R12" i="24" a="1"/>
  <c r="R12" i="24" s="1"/>
  <c r="R11" i="24" a="1"/>
  <c r="R11" i="24" s="1"/>
  <c r="S12" i="24" a="1"/>
  <c r="S12" i="24" s="1"/>
  <c r="T11" i="24" a="1"/>
  <c r="T11" i="24" s="1"/>
  <c r="T12" i="24" a="1"/>
  <c r="T12" i="24" s="1"/>
  <c r="AF8" i="24" a="1"/>
  <c r="AF8" i="24" s="1"/>
  <c r="AD9" i="24" a="1"/>
  <c r="AD9" i="24" s="1"/>
  <c r="AE9" i="24" a="1"/>
  <c r="AE9" i="24" s="1"/>
  <c r="AE7" i="24" a="1"/>
  <c r="AE7" i="24" s="1"/>
  <c r="AF9" i="24" a="1"/>
  <c r="AF9" i="24" s="1"/>
  <c r="AF7" i="24" a="1"/>
  <c r="AF7" i="24" s="1"/>
  <c r="AD8" i="24" a="1"/>
  <c r="AD8" i="24" s="1"/>
  <c r="K27" i="24" a="1"/>
  <c r="K27" i="24" s="1"/>
  <c r="K25" i="24" a="1"/>
  <c r="K25" i="24" s="1"/>
  <c r="J26" i="24" a="1"/>
  <c r="J26" i="24" s="1"/>
  <c r="L26" i="24" a="1"/>
  <c r="L26" i="24" s="1"/>
  <c r="L25" i="24" a="1"/>
  <c r="L25" i="24" s="1"/>
  <c r="F27" i="24" a="1"/>
  <c r="F27" i="24" s="1"/>
  <c r="F26" i="24" a="1"/>
  <c r="F26" i="24" s="1"/>
  <c r="G27" i="24" a="1"/>
  <c r="G27" i="24" s="1"/>
  <c r="H26" i="24" a="1"/>
  <c r="H26" i="24" s="1"/>
  <c r="H27" i="24" a="1"/>
  <c r="H27" i="24" s="1"/>
  <c r="G25" i="24" a="1"/>
  <c r="G25" i="24" s="1"/>
  <c r="H25" i="24" a="1"/>
  <c r="H25" i="24" s="1"/>
  <c r="AB4" i="24" a="1"/>
  <c r="AB4" i="24" s="1"/>
  <c r="O28" i="24" a="1"/>
  <c r="O28" i="24" s="1"/>
  <c r="AJ9" i="24" a="1"/>
  <c r="AJ9" i="24" s="1"/>
  <c r="AJ7" i="24" a="1"/>
  <c r="AJ7" i="24" s="1"/>
  <c r="AH8" i="24" a="1"/>
  <c r="AH8" i="24" s="1"/>
  <c r="AJ8" i="24" a="1"/>
  <c r="AJ8" i="24" s="1"/>
  <c r="AH9" i="24" a="1"/>
  <c r="AH9" i="24" s="1"/>
  <c r="AI9" i="24" a="1"/>
  <c r="AI9" i="24" s="1"/>
  <c r="AI7" i="24" a="1"/>
  <c r="AI7" i="24" s="1"/>
  <c r="AU8" i="24"/>
  <c r="J8" i="24" a="1"/>
  <c r="J8" i="24" s="1"/>
  <c r="J9" i="24" a="1"/>
  <c r="J9" i="24" s="1"/>
  <c r="L7" i="24" a="1"/>
  <c r="L7" i="24" s="1"/>
  <c r="L8" i="24" a="1"/>
  <c r="L8" i="24" s="1"/>
  <c r="K9" i="24" a="1"/>
  <c r="K9" i="24" s="1"/>
  <c r="L9" i="24" a="1"/>
  <c r="L9" i="24" s="1"/>
  <c r="K7" i="24" a="1"/>
  <c r="K7" i="24" s="1"/>
  <c r="C24" i="24" a="1"/>
  <c r="C24" i="24" s="1"/>
  <c r="B23" i="24" a="1"/>
  <c r="B23" i="24" s="1"/>
  <c r="C22" i="24" a="1"/>
  <c r="C22" i="24" s="1"/>
  <c r="D22" i="24" a="1"/>
  <c r="D22" i="24" s="1"/>
  <c r="B24" i="24" a="1"/>
  <c r="B24" i="24" s="1"/>
  <c r="D24" i="24" a="1"/>
  <c r="D24" i="24" s="1"/>
  <c r="D23" i="24" a="1"/>
  <c r="D23" i="24" s="1"/>
  <c r="AE13" i="24" a="1"/>
  <c r="AE13" i="24" s="1"/>
  <c r="AF13" i="24" a="1"/>
  <c r="AF13" i="24" s="1"/>
  <c r="AD15" i="24" a="1"/>
  <c r="AD15" i="24" s="1"/>
  <c r="AD14" i="24" a="1"/>
  <c r="AD14" i="24" s="1"/>
  <c r="AF14" i="24" a="1"/>
  <c r="AF14" i="24" s="1"/>
  <c r="AF15" i="24" a="1"/>
  <c r="AF15" i="24" s="1"/>
  <c r="AE15" i="24" a="1"/>
  <c r="AE15" i="24" s="1"/>
  <c r="AA4" i="24" a="1"/>
  <c r="AA4" i="24" s="1"/>
  <c r="B26" i="24" a="1"/>
  <c r="B26" i="24" s="1"/>
  <c r="R18" i="24" a="1"/>
  <c r="R18" i="24" s="1"/>
  <c r="R17" i="24" a="1"/>
  <c r="R17" i="24" s="1"/>
  <c r="S18" i="24" a="1"/>
  <c r="S18" i="24" s="1"/>
  <c r="S16" i="24" a="1"/>
  <c r="S16" i="24" s="1"/>
  <c r="T16" i="24" a="1"/>
  <c r="T16" i="24" s="1"/>
  <c r="T18" i="24" a="1"/>
  <c r="T18" i="24" s="1"/>
  <c r="T17" i="24" a="1"/>
  <c r="T17" i="24" s="1"/>
  <c r="L27" i="24" a="1"/>
  <c r="L27" i="24" s="1"/>
  <c r="X29" i="24" a="1"/>
  <c r="X29" i="24" s="1"/>
  <c r="AB15" i="24" a="1"/>
  <c r="AB15" i="24" s="1"/>
  <c r="Z14" i="24" a="1"/>
  <c r="Z14" i="24" s="1"/>
  <c r="AA13" i="24" a="1"/>
  <c r="AA13" i="24" s="1"/>
  <c r="AB13" i="24" a="1"/>
  <c r="AB13" i="24" s="1"/>
  <c r="Z15" i="24" a="1"/>
  <c r="Z15" i="24" s="1"/>
  <c r="AA15" i="24" a="1"/>
  <c r="AA15" i="24" s="1"/>
  <c r="AB14" i="24" a="1"/>
  <c r="AB14" i="24" s="1"/>
  <c r="AJ24" i="24" a="1"/>
  <c r="AJ24" i="24" s="1"/>
  <c r="AH23" i="24" a="1"/>
  <c r="AH23" i="24" s="1"/>
  <c r="AH24" i="24" a="1"/>
  <c r="AH24" i="24" s="1"/>
  <c r="AJ23" i="24" a="1"/>
  <c r="AJ23" i="24" s="1"/>
  <c r="AI22" i="24" a="1"/>
  <c r="AI22" i="24" s="1"/>
  <c r="AJ22" i="24" a="1"/>
  <c r="AJ22" i="24" s="1"/>
  <c r="AI24" i="24" a="1"/>
  <c r="AI2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L6" i="24" a="1"/>
  <c r="L6" i="24" s="1"/>
  <c r="K4" i="24" a="1"/>
  <c r="K4" i="24" s="1"/>
  <c r="L4" i="24" a="1"/>
  <c r="L4" i="24" s="1"/>
  <c r="J5" i="24" a="1"/>
  <c r="J5" i="24" s="1"/>
  <c r="J6" i="24" a="1"/>
  <c r="J6" i="24" s="1"/>
  <c r="L5" i="24" a="1"/>
  <c r="L5" i="24" s="1"/>
  <c r="K6" i="24" a="1"/>
  <c r="K6" i="24" s="1"/>
  <c r="J24" i="24" a="1"/>
  <c r="J24" i="24" s="1"/>
  <c r="J23" i="24" a="1"/>
  <c r="J23" i="24" s="1"/>
  <c r="L23" i="24" a="1"/>
  <c r="L23" i="24" s="1"/>
  <c r="K24" i="24" a="1"/>
  <c r="K24" i="24" s="1"/>
  <c r="L24" i="24" a="1"/>
  <c r="L24" i="24" s="1"/>
  <c r="K22" i="24" a="1"/>
  <c r="K22" i="24" s="1"/>
  <c r="L22" i="24" a="1"/>
  <c r="L22" i="24" s="1"/>
  <c r="O15" i="24" a="1"/>
  <c r="O15" i="24" s="1"/>
  <c r="P15" i="24" a="1"/>
  <c r="P15" i="24" s="1"/>
  <c r="O13" i="24" a="1"/>
  <c r="O13" i="24" s="1"/>
  <c r="P14" i="24" a="1"/>
  <c r="P14" i="24" s="1"/>
  <c r="P13" i="24" a="1"/>
  <c r="P13" i="24" s="1"/>
  <c r="N15" i="24" a="1"/>
  <c r="N15" i="24" s="1"/>
  <c r="N14" i="24" a="1"/>
  <c r="N14" i="24" s="1"/>
  <c r="W24" i="24" a="1"/>
  <c r="W24" i="24" s="1"/>
  <c r="X24" i="24" a="1"/>
  <c r="X24" i="24" s="1"/>
  <c r="X23" i="24" a="1"/>
  <c r="X23" i="24" s="1"/>
  <c r="X22" i="24" a="1"/>
  <c r="X22" i="24" s="1"/>
  <c r="V23" i="24" a="1"/>
  <c r="V23" i="24" s="1"/>
  <c r="V24" i="24" a="1"/>
  <c r="V24" i="24" s="1"/>
  <c r="W22" i="24" a="1"/>
  <c r="W22" i="24" s="1"/>
  <c r="AB30" i="24" a="1"/>
  <c r="AB30" i="24" s="1"/>
  <c r="N28" i="24" a="1"/>
  <c r="N28" i="24" s="1"/>
  <c r="AH28" i="24" a="1"/>
  <c r="AH28" i="24" s="1"/>
  <c r="F4" i="24" a="1"/>
  <c r="F4" i="24" s="1"/>
  <c r="R4" i="24" a="1"/>
  <c r="R4" i="24" s="1"/>
  <c r="J10" i="24" a="1"/>
  <c r="J10" i="24" s="1"/>
  <c r="AD16" i="24" a="1"/>
  <c r="AD16" i="24" s="1"/>
  <c r="B19" i="24" a="1"/>
  <c r="B19" i="24" s="1"/>
  <c r="R22" i="24" a="1"/>
  <c r="R22" i="24" s="1"/>
  <c r="Z28" i="24" a="1"/>
  <c r="Z28" i="24" s="1"/>
  <c r="AD4" i="24" a="1"/>
  <c r="AD4" i="24" s="1"/>
  <c r="V10" i="24" a="1"/>
  <c r="V10" i="24" s="1"/>
  <c r="J13" i="24" a="1"/>
  <c r="J13" i="24" s="1"/>
  <c r="V13" i="24" a="1"/>
  <c r="V13" i="24" s="1"/>
  <c r="AH13" i="24" a="1"/>
  <c r="AH13" i="24" s="1"/>
  <c r="AH19" i="24" a="1"/>
  <c r="AH19" i="24" s="1"/>
  <c r="V25" i="24" a="1"/>
  <c r="V25" i="24" s="1"/>
  <c r="F28" i="24" a="1"/>
  <c r="F28" i="24" s="1"/>
  <c r="J4" i="24" a="1"/>
  <c r="J4" i="24" s="1"/>
  <c r="F7" i="24" a="1"/>
  <c r="F7" i="24" s="1"/>
  <c r="N7" i="24" a="1"/>
  <c r="N7" i="24" s="1"/>
  <c r="V7" i="24" a="1"/>
  <c r="V7" i="24" s="1"/>
  <c r="AD7" i="24" a="1"/>
  <c r="AD7" i="24" s="1"/>
  <c r="B10" i="24" a="1"/>
  <c r="B10" i="24" s="1"/>
  <c r="AH10" i="24" a="1"/>
  <c r="AH10" i="24" s="1"/>
  <c r="N19" i="24" a="1"/>
  <c r="N19" i="24" s="1"/>
  <c r="R28" i="24" a="1"/>
  <c r="R28" i="24" s="1"/>
  <c r="B16" i="24" a="1"/>
  <c r="B16" i="24" s="1"/>
  <c r="Z19" i="24" a="1"/>
  <c r="Z19" i="24" s="1"/>
  <c r="J22" i="24" a="1"/>
  <c r="J22" i="24" s="1"/>
  <c r="V4" i="24" a="1"/>
  <c r="V4" i="24" s="1"/>
  <c r="AH4" i="24" a="1"/>
  <c r="AH4" i="24" s="1"/>
  <c r="N10" i="24" a="1"/>
  <c r="N10" i="24" s="1"/>
  <c r="B13" i="24" a="1"/>
  <c r="B13" i="24" s="1"/>
  <c r="AD28" i="24" a="1"/>
  <c r="AD28" i="24" s="1"/>
  <c r="B4" i="24" a="1"/>
  <c r="B4" i="24" s="1"/>
  <c r="Z10" i="24" a="1"/>
  <c r="Z10" i="24" s="1"/>
  <c r="J28" i="24" a="1"/>
  <c r="J28" i="24" s="1"/>
  <c r="N4" i="24" a="1"/>
  <c r="N4" i="24" s="1"/>
  <c r="F10" i="24" a="1"/>
  <c r="F10" i="24" s="1"/>
  <c r="N22" i="24" a="1"/>
  <c r="N22" i="24" s="1"/>
  <c r="AH22" i="24" a="1"/>
  <c r="AH22" i="24" s="1"/>
  <c r="F25" i="24" a="1"/>
  <c r="F25" i="24" s="1"/>
  <c r="V28" i="24" a="1"/>
  <c r="V28" i="24" s="1"/>
  <c r="B7" i="24" a="1"/>
  <c r="B7" i="24" s="1"/>
  <c r="J7" i="24" a="1"/>
  <c r="J7" i="24" s="1"/>
  <c r="R7" i="24" a="1"/>
  <c r="R7" i="24" s="1"/>
  <c r="Z7" i="24" a="1"/>
  <c r="Z7" i="24" s="1"/>
  <c r="AH7" i="24" a="1"/>
  <c r="AH7" i="24" s="1"/>
  <c r="R10" i="24" a="1"/>
  <c r="R10" i="24" s="1"/>
  <c r="F13" i="24" a="1"/>
  <c r="F13" i="24" s="1"/>
  <c r="R13" i="24" a="1"/>
  <c r="R13" i="24" s="1"/>
  <c r="AD19" i="24" a="1"/>
  <c r="AD19" i="24" s="1"/>
  <c r="R25" i="24" a="1"/>
  <c r="R25" i="24" s="1"/>
  <c r="F16" i="24" a="1"/>
  <c r="F16" i="24" s="1"/>
  <c r="Z22" i="24" a="1"/>
  <c r="Z22" i="24" s="1"/>
  <c r="B28" i="24" a="1"/>
  <c r="B28" i="24" s="1"/>
  <c r="Z4" i="24" a="1"/>
  <c r="Z4" i="24" s="1"/>
  <c r="AD10" i="24" a="1"/>
  <c r="AD10" i="24" s="1"/>
  <c r="AD13" i="24" a="1"/>
  <c r="AD13" i="24" s="1"/>
  <c r="J19" i="24" a="1"/>
  <c r="J19" i="24" s="1"/>
  <c r="Z16" i="24" a="1"/>
  <c r="Z16" i="24" s="1"/>
  <c r="AD22" i="24" a="1"/>
  <c r="AD22" i="24" s="1"/>
  <c r="AD25" i="24" a="1"/>
  <c r="AD25" i="24" s="1"/>
  <c r="B25" i="24" a="1"/>
  <c r="B25" i="24" s="1"/>
  <c r="J16" i="24" a="1"/>
  <c r="J16" i="24" s="1"/>
  <c r="AH25" i="24" a="1"/>
  <c r="AH25" i="24" s="1"/>
  <c r="N16" i="24" a="1"/>
  <c r="N16" i="24" s="1"/>
  <c r="V19" i="24" a="1"/>
  <c r="V19" i="24" s="1"/>
  <c r="N13" i="24" a="1"/>
  <c r="N13" i="24" s="1"/>
  <c r="AH16" i="24" a="1"/>
  <c r="AH16" i="24" s="1"/>
  <c r="F19" i="24" a="1"/>
  <c r="F19" i="24" s="1"/>
  <c r="R16" i="24" a="1"/>
  <c r="R16" i="24" s="1"/>
  <c r="B22" i="24" a="1"/>
  <c r="B22" i="24" s="1"/>
  <c r="V22" i="24" a="1"/>
  <c r="V22" i="24" s="1"/>
  <c r="J25" i="24" a="1"/>
  <c r="J25" i="24" s="1"/>
  <c r="F22" i="24" a="1"/>
  <c r="F22" i="24" s="1"/>
  <c r="Z13" i="24" a="1"/>
  <c r="Z13" i="24" s="1"/>
  <c r="V16" i="24" a="1"/>
  <c r="V16" i="24" s="1"/>
  <c r="N25" i="24" a="1"/>
  <c r="N25" i="24" s="1"/>
  <c r="Z25" i="24" a="1"/>
  <c r="Z25" i="24" s="1"/>
  <c r="R19" i="24" a="1"/>
  <c r="R19" i="24" s="1"/>
  <c r="AA21" i="24" a="1"/>
  <c r="AA21" i="24" s="1"/>
  <c r="AB21" i="24" a="1"/>
  <c r="AB21" i="24" s="1"/>
  <c r="AB19" i="24" a="1"/>
  <c r="AB19" i="24" s="1"/>
  <c r="Z21" i="24" a="1"/>
  <c r="Z21" i="24" s="1"/>
  <c r="AA19" i="24" a="1"/>
  <c r="AA19" i="24" s="1"/>
  <c r="Z20" i="24" a="1"/>
  <c r="Z20" i="24" s="1"/>
  <c r="AB20" i="24" a="1"/>
  <c r="AB20"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B28" i="23" a="1"/>
  <c r="B28" i="23" s="1"/>
  <c r="V28" i="23" a="1"/>
  <c r="V28" i="23" s="1"/>
  <c r="J10" i="23" a="1"/>
  <c r="J10" i="23" s="1"/>
  <c r="AD13" i="23" a="1"/>
  <c r="AD13" i="23" s="1"/>
  <c r="J19" i="23" a="1"/>
  <c r="J19" i="23" s="1"/>
  <c r="V22" i="23" a="1"/>
  <c r="V22" i="23" s="1"/>
  <c r="AH28" i="23" a="1"/>
  <c r="AH28" i="23" s="1"/>
  <c r="N4" i="23" a="1"/>
  <c r="N4" i="23" s="1"/>
  <c r="J7" i="23" a="1"/>
  <c r="J7" i="23" s="1"/>
  <c r="R13" i="23" a="1"/>
  <c r="R13" i="23" s="1"/>
  <c r="J22" i="23" a="1"/>
  <c r="J22" i="23" s="1"/>
  <c r="Z25" i="23" a="1"/>
  <c r="Z25" i="23" s="1"/>
  <c r="N28" i="23" a="1"/>
  <c r="N28" i="23" s="1"/>
  <c r="Z4" i="23" a="1"/>
  <c r="Z4" i="23" s="1"/>
  <c r="Z10" i="23" a="1"/>
  <c r="Z10" i="23" s="1"/>
  <c r="F13" i="23" a="1"/>
  <c r="F13" i="23" s="1"/>
  <c r="V16" i="23" a="1"/>
  <c r="V16" i="23" s="1"/>
  <c r="AD16" i="23" a="1"/>
  <c r="AD16" i="23" s="1"/>
  <c r="Z19" i="23" a="1"/>
  <c r="Z19" i="23" s="1"/>
  <c r="N25" i="23" a="1"/>
  <c r="N25" i="23" s="1"/>
  <c r="B25" i="23" a="1"/>
  <c r="B25" i="23" s="1"/>
  <c r="N22" i="23" a="1"/>
  <c r="N22" i="23" s="1"/>
  <c r="AD25" i="23" a="1"/>
  <c r="AD25" i="23" s="1"/>
  <c r="AH22" i="23" a="1"/>
  <c r="AH22" i="23" s="1"/>
  <c r="B7" i="23" a="1"/>
  <c r="B7" i="23" s="1"/>
  <c r="AD7" i="23" a="1"/>
  <c r="AD7" i="23" s="1"/>
  <c r="N10" i="23" a="1"/>
  <c r="N10" i="23" s="1"/>
  <c r="AH13" i="23" a="1"/>
  <c r="AH13" i="23" s="1"/>
  <c r="F16" i="23" a="1"/>
  <c r="F16" i="23" s="1"/>
  <c r="N16" i="23" a="1"/>
  <c r="N16" i="23" s="1"/>
  <c r="N19" i="23" a="1"/>
  <c r="N19" i="23" s="1"/>
  <c r="Z22" i="23" a="1"/>
  <c r="Z22" i="23" s="1"/>
  <c r="F25" i="23" a="1"/>
  <c r="F25" i="23" s="1"/>
  <c r="V19" i="23" a="1"/>
  <c r="V19" i="23" s="1"/>
  <c r="F28" i="23" a="1"/>
  <c r="F28" i="23" s="1"/>
  <c r="Z28" i="23" a="1"/>
  <c r="Z28" i="23" s="1"/>
  <c r="F4" i="23" a="1"/>
  <c r="F4" i="23" s="1"/>
  <c r="V7" i="23" a="1"/>
  <c r="V7" i="23" s="1"/>
  <c r="B10" i="23" a="1"/>
  <c r="B10" i="23" s="1"/>
  <c r="V13" i="23" a="1"/>
  <c r="V13" i="23" s="1"/>
  <c r="B19" i="23" a="1"/>
  <c r="B19" i="23" s="1"/>
  <c r="R4" i="23" a="1"/>
  <c r="R4" i="23" s="1"/>
  <c r="AD4" i="23" a="1"/>
  <c r="AD4" i="23" s="1"/>
  <c r="N7" i="23" a="1"/>
  <c r="N7" i="23" s="1"/>
  <c r="AD10" i="23" a="1"/>
  <c r="AD10" i="23" s="1"/>
  <c r="J13" i="23" a="1"/>
  <c r="J13" i="23" s="1"/>
  <c r="AD19" i="23" a="1"/>
  <c r="AD19" i="23" s="1"/>
  <c r="B22" i="23" a="1"/>
  <c r="B22" i="23" s="1"/>
  <c r="R25" i="23" a="1"/>
  <c r="R25" i="23" s="1"/>
  <c r="R28" i="23" a="1"/>
  <c r="R28" i="23" s="1"/>
  <c r="R10" i="23" a="1"/>
  <c r="R10" i="23" s="1"/>
  <c r="R19" i="23" a="1"/>
  <c r="R19" i="23" s="1"/>
  <c r="AD22" i="23" a="1"/>
  <c r="AD22" i="23" s="1"/>
  <c r="J4" i="23" a="1"/>
  <c r="J4" i="23" s="1"/>
  <c r="F7" i="23" a="1"/>
  <c r="F7" i="23" s="1"/>
  <c r="AH7" i="23" a="1"/>
  <c r="AH7" i="23" s="1"/>
  <c r="F10" i="23" a="1"/>
  <c r="F10" i="23" s="1"/>
  <c r="Z13" i="23" a="1"/>
  <c r="Z13" i="23" s="1"/>
  <c r="R16" i="23" a="1"/>
  <c r="R16" i="23" s="1"/>
  <c r="Z16" i="23" a="1"/>
  <c r="Z16" i="23" s="1"/>
  <c r="AH16" i="23" a="1"/>
  <c r="AH16" i="23" s="1"/>
  <c r="F19" i="23" a="1"/>
  <c r="F19" i="23" s="1"/>
  <c r="R22" i="23" a="1"/>
  <c r="R22" i="23" s="1"/>
  <c r="AH25" i="23" a="1"/>
  <c r="AH25" i="23" s="1"/>
  <c r="J25" i="23" a="1"/>
  <c r="J25" i="23" s="1"/>
  <c r="J28" i="23" a="1"/>
  <c r="J28" i="23" s="1"/>
  <c r="AD28" i="23" a="1"/>
  <c r="AD28" i="23" s="1"/>
  <c r="V4" i="23" a="1"/>
  <c r="V4" i="23" s="1"/>
  <c r="AH4" i="23" a="1"/>
  <c r="AH4" i="23" s="1"/>
  <c r="Z7" i="23" a="1"/>
  <c r="Z7" i="23" s="1"/>
  <c r="AH10" i="23" a="1"/>
  <c r="AH10" i="23" s="1"/>
  <c r="N13" i="23" a="1"/>
  <c r="N13" i="23" s="1"/>
  <c r="J16" i="23" a="1"/>
  <c r="J16" i="23" s="1"/>
  <c r="AH19" i="23" a="1"/>
  <c r="AH19" i="23" s="1"/>
  <c r="F22" i="23" a="1"/>
  <c r="F22" i="23" s="1"/>
  <c r="V25" i="23" a="1"/>
  <c r="V25" i="23" s="1"/>
  <c r="B4" i="23" a="1"/>
  <c r="B4" i="23" s="1"/>
  <c r="R7" i="23" a="1"/>
  <c r="R7" i="23" s="1"/>
  <c r="V10" i="23" a="1"/>
  <c r="V10" i="23" s="1"/>
  <c r="B13" i="23" a="1"/>
  <c r="B13" i="23" s="1"/>
  <c r="B16" i="23" a="1"/>
  <c r="B16"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AD4" i="22" a="1"/>
  <c r="AD4" i="22" s="1"/>
  <c r="N7" i="22" a="1"/>
  <c r="N7" i="22" s="1"/>
  <c r="N16" i="22" a="1"/>
  <c r="N16" i="22" s="1"/>
  <c r="B19" i="22" a="1"/>
  <c r="B19" i="22" s="1"/>
  <c r="AH19" i="22" a="1"/>
  <c r="AH19" i="22" s="1"/>
  <c r="B25" i="22" a="1"/>
  <c r="B25" i="22" s="1"/>
  <c r="Z22" i="22" a="1"/>
  <c r="Z22" i="22" s="1"/>
  <c r="J28" i="22" a="1"/>
  <c r="J28" i="22" s="1"/>
  <c r="V28" i="22" a="1"/>
  <c r="V28" i="22" s="1"/>
  <c r="AH28" i="22" a="1"/>
  <c r="AH28" i="22" s="1"/>
  <c r="AH7" i="22" a="1"/>
  <c r="AH7" i="22" s="1"/>
  <c r="F16" i="22" a="1"/>
  <c r="F16" i="22" s="1"/>
  <c r="N19" i="22" a="1"/>
  <c r="N19" i="22" s="1"/>
  <c r="J4" i="22" a="1"/>
  <c r="J4" i="22" s="1"/>
  <c r="F7" i="22" a="1"/>
  <c r="F7" i="22" s="1"/>
  <c r="B10" i="22" a="1"/>
  <c r="B10" i="22" s="1"/>
  <c r="N10" i="22" a="1"/>
  <c r="N10" i="22" s="1"/>
  <c r="Z10" i="22" a="1"/>
  <c r="Z10" i="22" s="1"/>
  <c r="B13" i="22" a="1"/>
  <c r="B13" i="22" s="1"/>
  <c r="N13" i="22" a="1"/>
  <c r="N13" i="22" s="1"/>
  <c r="F22" i="22" a="1"/>
  <c r="F22" i="22" s="1"/>
  <c r="AD25" i="22" a="1"/>
  <c r="AD25" i="22" s="1"/>
  <c r="V4" i="22" a="1"/>
  <c r="V4" i="22" s="1"/>
  <c r="AH4" i="22" a="1"/>
  <c r="AH4" i="22" s="1"/>
  <c r="Z7" i="22" a="1"/>
  <c r="Z7" i="22" s="1"/>
  <c r="Z13" i="22" a="1"/>
  <c r="Z13" i="22" s="1"/>
  <c r="Z19" i="22" a="1"/>
  <c r="Z19" i="22" s="1"/>
  <c r="R22" i="22" a="1"/>
  <c r="R22" i="22" s="1"/>
  <c r="F25" i="22" a="1"/>
  <c r="F25" i="22" s="1"/>
  <c r="R25" i="22" a="1"/>
  <c r="R25" i="22" s="1"/>
  <c r="J25" i="22" a="1"/>
  <c r="J25" i="22" s="1"/>
  <c r="AD19" i="22" a="1"/>
  <c r="AD19" i="22" s="1"/>
  <c r="N22" i="22" a="1"/>
  <c r="N22" i="22" s="1"/>
  <c r="Z25" i="22" a="1"/>
  <c r="Z25" i="22" s="1"/>
  <c r="B28" i="22" a="1"/>
  <c r="B28" i="22" s="1"/>
  <c r="N28" i="22" a="1"/>
  <c r="N28" i="22" s="1"/>
  <c r="Z28" i="22" a="1"/>
  <c r="Z28" i="22" s="1"/>
  <c r="B4" i="22" a="1"/>
  <c r="B4" i="22" s="1"/>
  <c r="R7" i="22" a="1"/>
  <c r="R7" i="22" s="1"/>
  <c r="AH16" i="22" a="1"/>
  <c r="AH16" i="22" s="1"/>
  <c r="F19" i="22" a="1"/>
  <c r="F19" i="22" s="1"/>
  <c r="AD22" i="22" a="1"/>
  <c r="AD22" i="22" s="1"/>
  <c r="J7" i="22" a="1"/>
  <c r="J7" i="22" s="1"/>
  <c r="F10" i="22" a="1"/>
  <c r="F10" i="22" s="1"/>
  <c r="R10" i="22" a="1"/>
  <c r="R10" i="22" s="1"/>
  <c r="B16" i="22" a="1"/>
  <c r="B16" i="22" s="1"/>
  <c r="J16" i="22" a="1"/>
  <c r="J16" i="22" s="1"/>
  <c r="R16" i="22" a="1"/>
  <c r="R16" i="22" s="1"/>
  <c r="Z16" i="22" a="1"/>
  <c r="Z16" i="22" s="1"/>
  <c r="R19" i="22" a="1"/>
  <c r="R19" i="22" s="1"/>
  <c r="J22" i="22" a="1"/>
  <c r="J22" i="22" s="1"/>
  <c r="AH25" i="22" a="1"/>
  <c r="AH25" i="22" s="1"/>
  <c r="N4" i="22" a="1"/>
  <c r="N4" i="22" s="1"/>
  <c r="Z4" i="22" a="1"/>
  <c r="Z4" i="22" s="1"/>
  <c r="AD7" i="22" a="1"/>
  <c r="AD7" i="22" s="1"/>
  <c r="AD10" i="22" a="1"/>
  <c r="AD10" i="22" s="1"/>
  <c r="F13" i="22" a="1"/>
  <c r="F13" i="22" s="1"/>
  <c r="R13" i="22" a="1"/>
  <c r="R13" i="22" s="1"/>
  <c r="AD13" i="22" a="1"/>
  <c r="AD13" i="22" s="1"/>
  <c r="V25" i="22" a="1"/>
  <c r="V25" i="22" s="1"/>
  <c r="V22" i="22" a="1"/>
  <c r="V22" i="22" s="1"/>
  <c r="F28" i="22" a="1"/>
  <c r="F28" i="22" s="1"/>
  <c r="R28" i="22" a="1"/>
  <c r="R28" i="22" s="1"/>
  <c r="B7" i="22" a="1"/>
  <c r="B7" i="22" s="1"/>
  <c r="N25" i="22" a="1"/>
  <c r="N25" i="22" s="1"/>
  <c r="AD28" i="22" a="1"/>
  <c r="AD28" i="22" s="1"/>
  <c r="F4" i="22" a="1"/>
  <c r="F4" i="22" s="1"/>
  <c r="V7" i="22" a="1"/>
  <c r="V7" i="22" s="1"/>
  <c r="J19" i="22" a="1"/>
  <c r="J19" i="22" s="1"/>
  <c r="B22" i="22" a="1"/>
  <c r="B22" i="22" s="1"/>
  <c r="AH22" i="22" a="1"/>
  <c r="AH22" i="22" s="1"/>
  <c r="V19" i="22" a="1"/>
  <c r="V19" i="22" s="1"/>
  <c r="R4" i="22" a="1"/>
  <c r="R4" i="22" s="1"/>
  <c r="J10" i="22" a="1"/>
  <c r="J10" i="22" s="1"/>
  <c r="V10" i="22" a="1"/>
  <c r="V10" i="22" s="1"/>
  <c r="AH10" i="22" a="1"/>
  <c r="AH10" i="22" s="1"/>
  <c r="J13" i="22" a="1"/>
  <c r="J13" i="22" s="1"/>
  <c r="V13" i="22" a="1"/>
  <c r="V13" i="22" s="1"/>
  <c r="AH13" i="22" a="1"/>
  <c r="AH13" i="22" s="1"/>
  <c r="V16" i="22" a="1"/>
  <c r="V16" i="22" s="1"/>
  <c r="AD16" i="22" a="1"/>
  <c r="AD16"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R28" i="21" a="1"/>
  <c r="R28" i="21" s="1"/>
  <c r="R10" i="21" a="1"/>
  <c r="R10" i="21" s="1"/>
  <c r="J19" i="21" a="1"/>
  <c r="J19" i="21" s="1"/>
  <c r="V22" i="21" a="1"/>
  <c r="V22" i="21" s="1"/>
  <c r="AH25" i="21" a="1"/>
  <c r="AH25" i="21" s="1"/>
  <c r="N4" i="21" a="1"/>
  <c r="N4" i="21" s="1"/>
  <c r="F7" i="21" a="1"/>
  <c r="F7" i="21" s="1"/>
  <c r="R13" i="21" a="1"/>
  <c r="R13" i="21" s="1"/>
  <c r="Z16" i="21" a="1"/>
  <c r="Z16" i="21" s="1"/>
  <c r="AD19" i="21" a="1"/>
  <c r="AD19" i="21" s="1"/>
  <c r="N22" i="21" a="1"/>
  <c r="N22" i="21" s="1"/>
  <c r="N25" i="21" a="1"/>
  <c r="N25" i="21" s="1"/>
  <c r="R16" i="21" a="1"/>
  <c r="R16" i="21" s="1"/>
  <c r="B19" i="21" a="1"/>
  <c r="B19" i="21" s="1"/>
  <c r="J28" i="21" a="1"/>
  <c r="J28" i="21" s="1"/>
  <c r="AD28" i="21" a="1"/>
  <c r="AD28" i="21" s="1"/>
  <c r="Z4" i="21" a="1"/>
  <c r="Z4" i="21" s="1"/>
  <c r="R7" i="21" a="1"/>
  <c r="R7" i="21" s="1"/>
  <c r="AD7" i="21" a="1"/>
  <c r="AD7" i="21" s="1"/>
  <c r="J10" i="21" a="1"/>
  <c r="J10" i="21" s="1"/>
  <c r="AH22" i="21" a="1"/>
  <c r="AH22" i="21" s="1"/>
  <c r="AD10" i="21" a="1"/>
  <c r="AD10" i="21" s="1"/>
  <c r="J13" i="21" a="1"/>
  <c r="J13" i="21" s="1"/>
  <c r="AD13" i="21" a="1"/>
  <c r="AD13" i="21" s="1"/>
  <c r="J16" i="21" a="1"/>
  <c r="J16" i="21" s="1"/>
  <c r="V19" i="21" a="1"/>
  <c r="V19" i="21" s="1"/>
  <c r="F22" i="21" a="1"/>
  <c r="F22" i="21" s="1"/>
  <c r="F25" i="21" a="1"/>
  <c r="F25" i="21" s="1"/>
  <c r="Z25" i="21" a="1"/>
  <c r="Z25" i="21" s="1"/>
  <c r="B28" i="21" a="1"/>
  <c r="B28" i="21" s="1"/>
  <c r="V28" i="21" a="1"/>
  <c r="V28" i="21" s="1"/>
  <c r="F4" i="21" a="1"/>
  <c r="F4" i="21" s="1"/>
  <c r="B10" i="21" a="1"/>
  <c r="B10" i="21" s="1"/>
  <c r="B13" i="21" a="1"/>
  <c r="B13" i="21" s="1"/>
  <c r="R4" i="21" a="1"/>
  <c r="R4" i="21" s="1"/>
  <c r="AD4" i="21" a="1"/>
  <c r="AD4" i="21" s="1"/>
  <c r="J7" i="21" a="1"/>
  <c r="J7" i="21" s="1"/>
  <c r="V7" i="21" a="1"/>
  <c r="V7" i="21" s="1"/>
  <c r="AH7" i="21" a="1"/>
  <c r="AH7" i="21" s="1"/>
  <c r="V10" i="21" a="1"/>
  <c r="V10" i="21" s="1"/>
  <c r="V13" i="21" a="1"/>
  <c r="V13" i="21" s="1"/>
  <c r="N28" i="21" a="1"/>
  <c r="N28" i="21" s="1"/>
  <c r="AH28" i="21" a="1"/>
  <c r="AH28" i="21" s="1"/>
  <c r="N13" i="21" a="1"/>
  <c r="N13" i="21" s="1"/>
  <c r="AH13" i="21" a="1"/>
  <c r="AH13" i="21" s="1"/>
  <c r="V16" i="21" a="1"/>
  <c r="V16" i="21" s="1"/>
  <c r="F19" i="21" a="1"/>
  <c r="F19" i="21" s="1"/>
  <c r="AH19" i="21" a="1"/>
  <c r="AH19" i="21" s="1"/>
  <c r="J4" i="21" a="1"/>
  <c r="J4" i="21" s="1"/>
  <c r="B7" i="21" a="1"/>
  <c r="B7" i="21" s="1"/>
  <c r="N10" i="21" a="1"/>
  <c r="N10" i="21" s="1"/>
  <c r="N16" i="21" a="1"/>
  <c r="N16" i="21" s="1"/>
  <c r="Z19" i="21" a="1"/>
  <c r="Z19" i="21" s="1"/>
  <c r="J25" i="21" a="1"/>
  <c r="J25" i="21" s="1"/>
  <c r="AD22" i="21" a="1"/>
  <c r="AD22" i="21" s="1"/>
  <c r="F28" i="21" a="1"/>
  <c r="F28" i="21" s="1"/>
  <c r="Z28" i="21" a="1"/>
  <c r="Z28" i="21" s="1"/>
  <c r="V4" i="21" a="1"/>
  <c r="V4" i="21" s="1"/>
  <c r="AH4" i="21" a="1"/>
  <c r="AH4" i="21" s="1"/>
  <c r="N7" i="21" a="1"/>
  <c r="N7" i="21" s="1"/>
  <c r="F10" i="21" a="1"/>
  <c r="F10" i="21" s="1"/>
  <c r="AH10" i="21" a="1"/>
  <c r="AH10" i="21" s="1"/>
  <c r="F13" i="21" a="1"/>
  <c r="F13" i="21" s="1"/>
  <c r="AH16" i="21" a="1"/>
  <c r="AH16" i="21" s="1"/>
  <c r="R19" i="21" a="1"/>
  <c r="R19" i="21" s="1"/>
  <c r="J22" i="21" a="1"/>
  <c r="J22" i="21" s="1"/>
  <c r="B4" i="21" a="1"/>
  <c r="B4" i="21" s="1"/>
  <c r="Z7" i="21" a="1"/>
  <c r="Z7" i="21" s="1"/>
  <c r="Z10" i="21" a="1"/>
  <c r="Z10" i="21" s="1"/>
  <c r="Z13" i="21" a="1"/>
  <c r="Z13" i="21" s="1"/>
  <c r="F16" i="21" a="1"/>
  <c r="F16" i="21" s="1"/>
  <c r="B22" i="21" a="1"/>
  <c r="B22" i="21" s="1"/>
  <c r="N19" i="21" a="1"/>
  <c r="N19" i="21" s="1"/>
  <c r="R22" i="21" a="1"/>
  <c r="R22" i="21" s="1"/>
  <c r="AD25" i="21" a="1"/>
  <c r="AD25" i="21" s="1"/>
  <c r="B16" i="21" a="1"/>
  <c r="B16" i="21" s="1"/>
  <c r="Z22" i="21" a="1"/>
  <c r="Z22" i="21" s="1"/>
  <c r="R25" i="21" a="1"/>
  <c r="R25" i="21" s="1"/>
  <c r="AD16" i="21" a="1"/>
  <c r="AD16" i="21" s="1"/>
  <c r="B25" i="21" a="1"/>
  <c r="B25" i="21" s="1"/>
  <c r="V25" i="21" a="1"/>
  <c r="V25"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F57" i="9" l="1"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D137" i="10" l="1"/>
  <c r="E137" i="10" s="1"/>
  <c r="B100" i="9" a="1"/>
  <c r="B100" i="9" s="1"/>
  <c r="D71" i="10" s="1"/>
  <c r="E71" i="10"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B4" i="12" a="1"/>
  <c r="B4" i="12" s="1"/>
  <c r="V4" i="12" a="1"/>
  <c r="V4" i="12" s="1"/>
  <c r="F10" i="12" a="1"/>
  <c r="F10" i="12" s="1"/>
  <c r="Z10" i="12" a="1"/>
  <c r="Z10" i="12" s="1"/>
  <c r="B13" i="12" a="1"/>
  <c r="B13" i="12" s="1"/>
  <c r="V13" i="12" a="1"/>
  <c r="V13" i="12" s="1"/>
  <c r="R16" i="12" a="1"/>
  <c r="R16" i="12" s="1"/>
  <c r="R7" i="12" a="1"/>
  <c r="R7" i="12" s="1"/>
  <c r="N19" i="12" a="1"/>
  <c r="N19" i="12" s="1"/>
  <c r="AH19" i="12" a="1"/>
  <c r="AH19" i="12" s="1"/>
  <c r="J4" i="12" a="1"/>
  <c r="J4" i="12" s="1"/>
  <c r="F7" i="12" a="1"/>
  <c r="F7" i="12" s="1"/>
  <c r="Z7" i="12" a="1"/>
  <c r="Z7" i="12" s="1"/>
  <c r="B19" i="12" a="1"/>
  <c r="B19" i="12" s="1"/>
  <c r="R4" i="12" a="1"/>
  <c r="R4" i="12" s="1"/>
  <c r="B10" i="12" a="1"/>
  <c r="B10" i="12" s="1"/>
  <c r="V10" i="12" a="1"/>
  <c r="V10" i="12" s="1"/>
  <c r="R13" i="12" a="1"/>
  <c r="R13" i="12" s="1"/>
  <c r="N16" i="12" a="1"/>
  <c r="N16" i="12" s="1"/>
  <c r="AH16" i="12" a="1"/>
  <c r="AH16" i="12" s="1"/>
  <c r="N7" i="12" a="1"/>
  <c r="N7" i="12" s="1"/>
  <c r="AH7" i="12" a="1"/>
  <c r="AH7" i="12" s="1"/>
  <c r="F4" i="12" a="1"/>
  <c r="F4" i="12" s="1"/>
  <c r="B7" i="12" a="1"/>
  <c r="B7" i="12" s="1"/>
  <c r="N4" i="12" a="1"/>
  <c r="N4" i="12" s="1"/>
  <c r="AH4" i="12" a="1"/>
  <c r="AH4" i="12" s="1"/>
  <c r="R10" i="12" a="1"/>
  <c r="R10" i="12" s="1"/>
  <c r="J7" i="12" a="1"/>
  <c r="J7" i="12" s="1"/>
  <c r="AD7" i="12" a="1"/>
  <c r="AD7" i="12" s="1"/>
  <c r="F19" i="12" a="1"/>
  <c r="F19" i="12" s="1"/>
  <c r="Z19" i="12" a="1"/>
  <c r="Z19" i="12" s="1"/>
  <c r="J16" i="12" a="1"/>
  <c r="J16" i="12" s="1"/>
  <c r="V19" i="12" a="1"/>
  <c r="V19" i="12" s="1"/>
  <c r="AD19" i="12" a="1"/>
  <c r="AD19" i="12" s="1"/>
  <c r="J28" i="12" a="1"/>
  <c r="J28" i="12" s="1"/>
  <c r="F13" i="12" a="1"/>
  <c r="F13" i="12" s="1"/>
  <c r="F22" i="12" a="1"/>
  <c r="F22" i="12" s="1"/>
  <c r="Z22" i="12" a="1"/>
  <c r="Z22" i="12" s="1"/>
  <c r="B25" i="12" a="1"/>
  <c r="B25" i="12" s="1"/>
  <c r="V25" i="12" a="1"/>
  <c r="V25" i="12" s="1"/>
  <c r="Z16" i="12" a="1"/>
  <c r="Z16" i="12" s="1"/>
  <c r="R28" i="12" a="1"/>
  <c r="R28" i="12" s="1"/>
  <c r="AH13" i="12" a="1"/>
  <c r="AH13" i="12" s="1"/>
  <c r="B16" i="12" a="1"/>
  <c r="B16" i="12" s="1"/>
  <c r="N22" i="12" a="1"/>
  <c r="N22" i="12" s="1"/>
  <c r="AH22" i="12" a="1"/>
  <c r="AH22" i="12" s="1"/>
  <c r="J25" i="12" a="1"/>
  <c r="J25" i="12" s="1"/>
  <c r="Z4" i="12" a="1"/>
  <c r="Z4" i="12" s="1"/>
  <c r="J13" i="12" a="1"/>
  <c r="J13" i="12" s="1"/>
  <c r="F28" i="12" a="1"/>
  <c r="F28" i="12" s="1"/>
  <c r="AD4" i="12" a="1"/>
  <c r="AD4" i="12" s="1"/>
  <c r="J10" i="12" a="1"/>
  <c r="J10" i="12" s="1"/>
  <c r="AD10" i="12" a="1"/>
  <c r="AD10" i="12" s="1"/>
  <c r="B22" i="12" a="1"/>
  <c r="B22" i="12" s="1"/>
  <c r="V22" i="12" a="1"/>
  <c r="V22" i="12" s="1"/>
  <c r="V7" i="12" a="1"/>
  <c r="V7" i="12" s="1"/>
  <c r="Z13" i="12" a="1"/>
  <c r="Z13" i="12" s="1"/>
  <c r="F16" i="12" a="1"/>
  <c r="F16" i="12" s="1"/>
  <c r="AD16" i="12" a="1"/>
  <c r="AD16" i="12" s="1"/>
  <c r="J19" i="12" a="1"/>
  <c r="J19" i="12" s="1"/>
  <c r="N10" i="12" a="1"/>
  <c r="N10" i="12" s="1"/>
  <c r="AH10" i="12" a="1"/>
  <c r="AH10" i="12" s="1"/>
  <c r="N13" i="12" a="1"/>
  <c r="N13" i="12" s="1"/>
  <c r="V16" i="12" a="1"/>
  <c r="V16" i="12" s="1"/>
  <c r="B28" i="12" a="1"/>
  <c r="B28" i="12" s="1"/>
  <c r="V28" i="12" a="1"/>
  <c r="V28" i="12" s="1"/>
  <c r="AD13" i="12" a="1"/>
  <c r="AD13" i="12" s="1"/>
  <c r="R22" i="12" a="1"/>
  <c r="R22" i="12" s="1"/>
  <c r="AD22" i="12" a="1"/>
  <c r="AD22" i="12" s="1"/>
  <c r="N25" i="12" a="1"/>
  <c r="N25" i="12" s="1"/>
  <c r="Z28" i="12" a="1"/>
  <c r="Z28" i="12" s="1"/>
  <c r="J22" i="12" a="1"/>
  <c r="J22" i="12" s="1"/>
  <c r="R25" i="12" a="1"/>
  <c r="R25" i="12" s="1"/>
  <c r="AD25" i="12" a="1"/>
  <c r="AD25" i="12" s="1"/>
  <c r="AH28" i="12" a="1"/>
  <c r="AH28" i="12" s="1"/>
  <c r="R19" i="12" a="1"/>
  <c r="R19" i="12" s="1"/>
  <c r="F25" i="12" a="1"/>
  <c r="F25" i="12" s="1"/>
  <c r="AH25" i="12" a="1"/>
  <c r="AH25" i="12" s="1"/>
  <c r="N28" i="12" a="1"/>
  <c r="N28" i="12" s="1"/>
  <c r="AD28" i="12" a="1"/>
  <c r="AD28" i="12" s="1"/>
  <c r="Z25" i="12" a="1"/>
  <c r="Z25"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33" i="10"/>
  <c r="E33" i="10" s="1"/>
  <c r="D6" i="10"/>
  <c r="E6" i="10" s="1"/>
  <c r="D31" i="10"/>
  <c r="E31"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<sst xmlns="http://schemas.openxmlformats.org/spreadsheetml/2006/main" count="864" uniqueCount="606">
  <si>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</si>
  <si>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</si>
  <si>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</si>
  <si>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</si>
  <si>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</si>
  <si>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</si>
  <si>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</si>
  <si>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</si>
  <si>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</si>
  <si>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</si>
  <si>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</si>
  <si>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</si>
  <si>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</si>
  <si>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</si>
  <si>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</si>
  <si>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</si>
  <si>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</si>
  <si>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</si>
  <si>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</si>
  <si>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</si>
  <si>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</si>
  <si>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</si>
  <si>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</si>
  <si>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</si>
  <si>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</si>
  <si>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</si>
  <si>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</si>
  <si>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</si>
  <si>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</si>
  <si>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</si>
  <si>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</si>
  <si>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</si>
  <si>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</si>
  <si>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</si>
  <si>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</si>
  <si>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</si>
  <si>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</si>
  <si>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</si>
  <si>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</si>
  <si>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</si>
  <si>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</si>
  <si>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</si>
  <si>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</si>
  <si>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</si>
  <si>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</si>
  <si>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</si>
  <si>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</si>
  <si>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</si>
  <si>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</si>
  <si>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</si>
  <si>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</si>
  <si>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</si>
  <si>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</si>
  <si>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</si>
  <si>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</si>
  <si>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</si>
  <si>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</si>
  <si>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</si>
  <si>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</si>
  <si>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</si>
  <si>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</si>
  <si>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</si>
  <si>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</si>
  <si>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</si>
  <si>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</si>
  <si>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</si>
  <si>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</si>
  <si>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</si>
  <si>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</si>
  <si>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</si>
  <si>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</si>
  <si>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</si>
  <si>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</si>
  <si>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</si>
  <si>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</si>
  <si>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</si>
  <si>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</si>
  <si>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</si>
  <si>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</si>
  <si>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</si>
  <si>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</si>
  <si>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</si>
  <si>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</si>
  <si>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</si>
  <si>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</si>
  <si>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</si>
  <si>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</si>
  <si>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</si>
  <si>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</si>
  <si>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</si>
  <si>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</si>
  <si>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</si>
  <si>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</si>
  <si>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Claiming row · Row 2 confines digit 3 to box 3 · Remove 3 from R3C7.</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</si>
  <si>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</si>
  <si>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</si>
  <si>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</si>
  <si>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</si>
  <si>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</si>
  <si>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</si>
  <si>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</si>
  <si>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</si>
  <si>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</si>
  <si>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</si>
  <si>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</si>
  <si>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</si>
  <si>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</si>
  <si>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</si>
  <si>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</si>
  <si>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</si>
  <si>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</si>
  <si>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</si>
  <si>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</si>
  <si>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</si>
  <si>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</si>
  <si>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</si>
  <si>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</si>
  <si>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</si>
  <si>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</si>
  <si>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</si>
  <si>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</si>
  <si>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</si>
  <si>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</si>
  <si>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</si>
  <si>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</si>
  <si>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</si>
  <si>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</si>
  <si>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</si>
  <si>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</si>
  <si>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</si>
  <si>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</si>
  <si>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</si>
  <si>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</si>
  <si>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</si>
  <si>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</si>
  <si>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</si>
  <si>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</si>
  <si>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</si>
  <si>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</si>
  <si>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</si>
  <si>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</si>
  <si>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</si>
  <si>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</si>
  <si>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</si>
  <si>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</si>
  <si>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</si>
  <si>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</si>
  <si>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</si>
  <si>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</si>
  <si>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</si>
  <si>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</si>
  <si>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</si>
  <si>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</si>
  <si>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</si>
  <si>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</si>
  <si>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</si>
  <si>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</si>
  <si>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</si>
  <si>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</si>
  <si>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</si>
  <si>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</si>
  <si>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</si>
  <si>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</si>
  <si>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</si>
  <si>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</si>
  <si>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</si>
  <si>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</si>
  <si>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</si>
  <si>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</si>
  <si>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</si>
  <si>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</si>
  <si>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</si>
  <si>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</si>
  <si>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</si>
  <si>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</si>
  <si>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</si>
  <si>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</si>
  <si>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</si>
  <si>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</si>
  <si>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</si>
  <si>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</si>
  <si>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</si>
  <si>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</si>
  <si>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</si>
  <si>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</si>
  <si>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</si>
  <si>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</si>
  <si>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</si>
  <si>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</si>
  <si>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</si>
  <si>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</si>
  <si>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</si>
  <si>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</si>
  <si>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</si>
  <si>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</si>
  <si>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</si>
  <si>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</si>
  <si>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</si>
  <si>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</si>
  <si>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</si>
  <si>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</si>
  <si>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</si>
  <si>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</si>
  <si>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</si>
  <si>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</si>
  <si>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</si>
  <si>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</si>
  <si>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</si>
  <si>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</si>
  <si>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</si>
  <si>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</si>
  <si>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</si>
  <si>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</si>
  <si>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</si>
  <si>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</si>
  <si>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</si>
  <si>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</si>
  <si>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</si>
  <si>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</si>
  <si>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</si>
  <si>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</si>
  <si>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</si>
  <si>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</si>
  <si>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</si>
  <si>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</si>
  <si>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</si>
  <si>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</si>
  <si>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</si>
  <si>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</si>
  <si>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</si>
  <si>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</si>
  <si>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</si>
  <si>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</si>
  <si>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</si>
  <si>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</si>
  <si>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</si>
  <si>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</si>
  <si>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</si>
  <si>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</si>
  <si>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</si>
  <si>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</si>
  <si>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</si>
  <si>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</si>
  <si>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</si>
  <si>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</si>
  <si>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</si>
  <si>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</si>
  <si>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</si>
  <si>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</si>
  <si>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</si>
  <si>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</si>
  <si>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</si>
  <si>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</si>
  <si>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</si>
  <si>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</si>
  <si>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</si>
  <si>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</si>
  <si>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</si>
  <si>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</si>
  <si>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</si>
  <si>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</si>
  <si>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</si>
  <si>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</si>
  <si>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</si>
  <si>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</si>
  <si>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</si>
  <si>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</si>
  <si>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</si>
  <si>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</si>
  <si>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</si>
  <si>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</si>
  <si>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</si>
  <si>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</si>
  <si>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</si>
  <si>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</si>
  <si>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</si>
  <si>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</si>
  <si>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</si>
  <si>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</si>
  <si>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</si>
  <si>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</si>
  <si>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</si>
  <si>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</si>
  <si>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</si>
  <si>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</si>
  <si>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</si>
  <si>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</si>
  <si>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</si>
  <si>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</si>
  <si>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</si>
  <si>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</si>
  <si>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</si>
  <si>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</si>
  <si>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</si>
  <si>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</si>
  <si>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</si>
  <si>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</si>
  <si>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</si>
  <si>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</si>
  <si>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</si>
  <si>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</si>
  <si>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</si>
  <si>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</si>
  <si>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</si>
  <si>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</si>
  <si>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</si>
  <si>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</si>
  <si>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</si>
  <si>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</si>
  <si>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</si>
  <si>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</si>
  <si>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</si>
  <si>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</si>
  <si>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</si>
  <si>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</si>
  <si>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</si>
  <si>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</si>
  <si>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</si>
  <si>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</si>
  <si>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</si>
  <si>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</si>
  <si>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</si>
  <si>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</si>
  <si>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</si>
  <si>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</si>
  <si>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</si>
  <si>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</si>
  <si>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</si>
  <si>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</si>
  <si>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</si>
  <si>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</si>
  <si>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</si>
  <si>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</si>
  <si>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</si>
  <si>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</si>
  <si>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</si>
  <si>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</si>
  <si>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</si>
  <si>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</si>
  <si>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</si>
  <si>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</si>
  <si>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</si>
  <si>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</si>
  <si>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</si>
  <si>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</si>
  <si>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</si>
  <si>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</si>
  <si>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</si>
  <si>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</si>
  <si>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</si>
  <si>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</si>
  <si>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</si>
  <si>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</si>
  <si>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</si>
  <si>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</si>
  <si>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</si>
  <si>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</si>
  <si>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</si>
  <si>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</si>
  <si>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</si>
  <si>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</si>
  <si>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</si>
  <si>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</si>
  <si>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</si>
  <si>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</si>
  <si>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</si>
  <si>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</si>
  <si>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</si>
  <si>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</si>
  <si>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</si>
  <si>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</si>
  <si>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</si>
  <si>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</si>
  <si>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</si>
  <si>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</si>
  <si>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</si>
  <si>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</si>
  <si>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</si>
  <si>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</si>
  <si>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</si>
  <si>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</si>
  <si>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</si>
  <si>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</si>
  <si>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</si>
  <si>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</si>
  <si>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</si>
  <si>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</si>
  <si>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</si>
  <si>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</si>
  <si>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</si>
  <si>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</si>
  <si>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</si>
  <si>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</si>
  <si>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</si>
  <si>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</si>
  <si>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</si>
  <si>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</si>
  <si>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</si>
  <si>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</si>
  <si>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</si>
  <si>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</si>
  <si>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</si>
  <si>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</si>
  <si>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</si>
  <si>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</si>
  <si>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</si>
  <si>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</si>
  <si>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</si>
  <si>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</si>
  <si>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</si>
  <si>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</si>
  <si>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</si>
  <si>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</si>
  <si>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</si>
  <si>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</si>
  <si>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</si>
  <si>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</si>
  <si>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</si>
  <si>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</si>
  <si>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</si>
  <si>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</si>
  <si>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</si>
  <si>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</si>
  <si>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</si>
  <si>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</si>
  <si>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</si>
  <si>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</si>
  <si>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</si>
  <si>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</si>
  <si>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</si>
  <si>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</si>
  <si>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</si>
  <si>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</si>
  <si>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</si>
  <si>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</si>
  <si>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</si>
  <si>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</si>
  <si>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</si>
  <si>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</si>
  <si>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</si>
  <si>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</si>
  <si>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</si>
  <si>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</si>
  <si>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</si>
  <si>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</si>
  <si>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</si>
  <si>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</si>
  <si>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</si>
  <si>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</si>
  <si>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</si>
  <si>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</si>
  <si>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</si>
  <si>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</si>
  <si>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</si>
  <si>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</si>
  <si>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</si>
  <si>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</si>
  <si>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</si>
  <si>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</si>
  <si>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</si>
  <si>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</si>
  <si>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</si>
  <si>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</si>
  <si>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</si>
  <si>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</si>
  <si>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</si>
  <si>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</si>
  <si>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</si>
  <si>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</si>
  <si>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</si>
  <si>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</si>
  <si>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</si>
  <si>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</si>
  <si>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</si>
  <si>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</si>
  <si>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</si>
  <si>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</si>
  <si>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</si>
  <si>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</si>
  <si>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</si>
  <si>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</si>
  <si>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</si>
  <si>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</si>
  <si>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Pointing row · Box 1 confines digit 7 to row 2 · Remove 7 from R2C7, R2C9.</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</si>
  <si>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</si>
  <si>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</si>
  <si>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</si>
  <si>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</si>
  <si>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</si>
  <si>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</si>
  <si>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</si>
  <si>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</si>
  <si>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</si>
  <si>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</si>
  <si>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</si>
  <si>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</si>
  <si>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</si>
  <si>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</si>
  <si>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</si>
  <si>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</si>
  <si>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</si>
  <si>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</si>
  <si>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</si>
  <si>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</si>
  <si>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</si>
  <si>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</si>
  <si>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</si>
  <si>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</si>
  <si>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</si>
  <si>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</si>
  <si>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</si>
  <si>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</si>
  <si>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</si>
  <si>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</si>
  <si>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</si>
  <si>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</si>
  <si>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</si>
  <si>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</si>
  <si>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</si>
  <si>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</si>
  <si>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</si>
  <si>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</si>
  <si>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</si>
  <si>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</si>
  <si>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</si>
  <si>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</si>
  <si>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</si>
  <si>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All published engines use the player-safe Coach wrappers</t>
  </si>
  <si>
    <t>Hint and Trace share the transparent fallback contract</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</si>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</sst>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4" fillId="0" borderId="0" xfId="0" applyFont="1" applyAlignment="1">
      <alignment vertical="top" indent="1"/>
    </xf>
    <xf numFmtId="0" fontId="45" fillId="0" borderId="0" xfId="0" applyFont="1" applyAlignment="1">
      <alignment vertical="top" indent="1"/>
    </xf>
    <xf numFmtId="0" fontId="47" fillId="0" borderId="0" xfId="0" applyFont="1" applyAlignment="1">
      <alignment vertical="top" indent="1"/>
    </xf>
    <xf numFmtId="0" fontId="48" fillId="0" borderId="0" xfId="0" applyFont="1" applyAlignment="1">
      <alignment vertical="top" indent="1"/>
    </xf>
    <xf numFmtId="0" fontId="11" fillId="2" borderId="0" xfId="0" applyFont="1" applyFill="1" applyAlignment="1">
      <alignment horizontal="left" vertical="center" indent="1"/>
    </xf>
    <xf numFmtId="0" fontId="41" fillId="0" borderId="0" xfId="0" applyFont="1" applyAlignment="1"/>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6" fillId="0" borderId="0" xfId="0" applyFont="1" applyAlignment="1">
      <alignment vertical="top" indent="1"/>
    </xf>
    <xf numFmtId="0" fontId="46" fillId="0" borderId="0" xfId="0" applyFont="1">
      <alignment vertical="center"/>
    </xf>
    <xf numFmtId="0" fontId="44" fillId="0" borderId="0" xfId="0" applyFont="1">
      <alignment vertical="center"/>
    </xf>
    <xf numFmtId="0" fontId="46" fillId="0" borderId="35" xfId="0" applyFont="1" applyBorder="1">
      <alignment vertical="center"/>
    </xf>
    <xf numFmtId="0" fontId="49" fillId="0" borderId="35" xfId="1" applyFont="1" applyBorder="1">
      <alignment vertical="center"/>
    </xf>
    <xf numFmtId="0" fontId="44" fillId="0" borderId="35" xfId="0" applyFont="1" applyBorder="1">
      <alignment vertical="center"/>
    </xf>
    <xf numFmtId="0" fontId="40" fillId="0" borderId="0" xfId="1" applyFont="1" applyBorder="1">
      <alignment vertical="center"/>
    </xf>
    <xf numFmtId="0" fontId="41" fillId="0" borderId="0" xfId="0" applyFont="1">
      <alignment vertical="center"/>
    </xf>
    <xf numFmtId="0" fontId="42"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3" fillId="0" borderId="0" xfId="0" applyFont="1">
      <alignment vertical="center"/>
    </xf>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6" fillId="0" borderId="34" xfId="0" applyFont="1" applyBorder="1">
      <alignment vertical="center"/>
    </xf>
    <xf numFmtId="0" fontId="44" fillId="0" borderId="34" xfId="0" applyFont="1" applyBorder="1">
      <alignment vertical="center"/>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0" xfId="0" applyFont="1" applyAlignment="1">
      <alignment horizontal="left" vertical="center" wrapText="1"/>
    </xf>
    <xf numFmtId="0" fontId="8" fillId="0" borderId="12" xfId="0" applyFont="1" applyBorder="1" applyAlignment="1">
      <alignment horizontal="left" vertical="center" wrapText="1"/>
    </xf>
    <xf numFmtId="0" fontId="15" fillId="0" borderId="13" xfId="0" applyFont="1" applyBorder="1" applyAlignment="1">
      <alignment horizontal="left" vertical="center" wrapText="1"/>
    </xf>
    <xf numFmtId="0" fontId="16" fillId="0" borderId="0" xfId="0" applyFont="1" applyAlignment="1">
      <alignment horizontal="left" vertical="center" wrapText="1"/>
    </xf>
    <xf numFmtId="0" fontId="10" fillId="0" borderId="0" xfId="0" applyFont="1" applyAlignment="1">
      <alignment horizontal="left" vertical="center" wrapTex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xf numFmtId="176" fontId="49" fillId="0" borderId="35" xfId="1" applyNumberFormat="1" applyFont="1" applyBorder="1">
      <alignment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workbookViewId="0">
      <selection activeCell="L15" sqref="L15"/>
    </sheetView>
  </sheetViews>
  <sheetFormatPr baseColWidth="10" defaultColWidth="9.33203125" defaultRowHeight="16"/>
  <cols>
    <col min="1" max="10" width="12" customWidth="1"/>
  </cols>
  <sheetData>
    <row r="1" spans="1:10" ht="34" customHeight="1">
      <c r="A1" s="74" t="s">
        <v>554</v>
      </c>
      <c r="B1" s="75"/>
      <c r="C1" s="75"/>
      <c r="D1" s="75"/>
      <c r="E1" s="75"/>
      <c r="F1" s="75"/>
      <c r="G1" s="75"/>
      <c r="H1" s="75"/>
      <c r="I1" s="75"/>
      <c r="J1" s="75"/>
    </row>
    <row r="2" spans="1:10" ht="24" customHeight="1">
      <c r="A2" s="76" t="s">
        <v>574</v>
      </c>
      <c r="B2" s="76"/>
      <c r="C2" s="76"/>
      <c r="D2" s="76"/>
      <c r="E2" s="76"/>
      <c r="F2" s="76"/>
      <c r="G2" s="76"/>
      <c r="H2" s="76"/>
      <c r="I2" s="76"/>
      <c r="J2" s="76"/>
    </row>
    <row r="3" spans="1:10" ht="8" customHeight="1">
      <c r="A3" s="63"/>
      <c r="B3" s="63"/>
      <c r="C3" s="63"/>
      <c r="D3" s="63"/>
      <c r="E3" s="63"/>
      <c r="F3" s="63"/>
      <c r="G3" s="63"/>
      <c r="H3" s="63"/>
      <c r="I3" s="63"/>
      <c r="J3" s="63"/>
    </row>
    <row r="4" spans="1:10" ht="20" customHeight="1">
      <c r="A4" s="72" t="s">
        <v>167</v>
      </c>
      <c r="B4" s="72"/>
      <c r="C4" s="72"/>
      <c r="D4" s="72"/>
      <c r="E4" s="72"/>
      <c r="F4" s="72"/>
      <c r="G4" s="72"/>
      <c r="H4" s="72"/>
      <c r="I4" s="72"/>
      <c r="J4" s="72"/>
    </row>
    <row r="5" spans="1:10" ht="25" customHeight="1">
      <c r="A5" s="83" t="str">
        <f>HYPERLINK("#'01 Easy'!B1","01 EASY")</f>
        <v>01 EASY</v>
      </c>
      <c r="B5" s="84"/>
      <c r="C5" s="84"/>
      <c r="D5" s="85" t="s">
        <v>168</v>
      </c>
      <c r="E5" s="85"/>
      <c r="F5" s="86" t="s">
        <v>169</v>
      </c>
      <c r="G5" s="86"/>
      <c r="H5" s="86"/>
      <c r="I5" s="86"/>
      <c r="J5" s="86"/>
    </row>
    <row r="6" spans="1:10" ht="25" customHeight="1">
      <c r="A6" s="87" t="str">
        <f>HYPERLINK("#'02 Medium'!B1","02 MEDIUM")</f>
        <v>02 MEDIUM</v>
      </c>
      <c r="B6" s="88"/>
      <c r="C6" s="88"/>
      <c r="D6" s="89" t="s">
        <v>170</v>
      </c>
      <c r="E6" s="89"/>
      <c r="F6" s="90" t="s">
        <v>171</v>
      </c>
      <c r="G6" s="90"/>
      <c r="H6" s="90"/>
      <c r="I6" s="90"/>
      <c r="J6" s="90"/>
    </row>
    <row r="7" spans="1:10" ht="25" customHeight="1">
      <c r="A7" s="87" t="str">
        <f>HYPERLINK("#'03 Hard'!B1","03 HARD")</f>
        <v>03 HARD</v>
      </c>
      <c r="B7" s="88"/>
      <c r="C7" s="88"/>
      <c r="D7" s="89" t="s">
        <v>172</v>
      </c>
      <c r="E7" s="89"/>
      <c r="F7" s="90" t="s">
        <v>173</v>
      </c>
      <c r="G7" s="90"/>
      <c r="H7" s="90"/>
      <c r="I7" s="90"/>
      <c r="J7" s="90"/>
    </row>
    <row r="8" spans="1:10" ht="25" customHeight="1">
      <c r="A8" s="87" t="str">
        <f>HYPERLINK("#'04 Expert'!B1","04 EXPERT")</f>
        <v>04 EXPERT</v>
      </c>
      <c r="B8" s="88"/>
      <c r="C8" s="88"/>
      <c r="D8" s="89" t="s">
        <v>174</v>
      </c>
      <c r="E8" s="89"/>
      <c r="F8" s="90" t="s">
        <v>175</v>
      </c>
      <c r="G8" s="90"/>
      <c r="H8" s="90"/>
      <c r="I8" s="90"/>
      <c r="J8" s="90"/>
    </row>
    <row r="9" spans="1:10" ht="25" customHeight="1">
      <c r="A9" s="92" t="str">
        <f>HYPERLINK("#'05 Master'!B1","05 MASTER")</f>
        <v>05 MASTER</v>
      </c>
      <c r="B9" s="93"/>
      <c r="C9" s="93"/>
      <c r="D9" s="94" t="s">
        <v>176</v>
      </c>
      <c r="E9" s="94"/>
      <c r="F9" s="95" t="s">
        <v>177</v>
      </c>
      <c r="G9" s="95"/>
      <c r="H9" s="95"/>
      <c r="I9" s="95"/>
      <c r="J9" s="95"/>
    </row>
    <row r="10" spans="1:10" ht="20" customHeight="1">
      <c r="A10" s="72" t="s">
        <v>585</v>
      </c>
      <c r="B10" s="72"/>
      <c r="C10" s="72"/>
      <c r="D10" s="72"/>
      <c r="E10" s="72"/>
      <c r="F10" s="72"/>
      <c r="G10" s="72"/>
      <c r="H10" s="72"/>
      <c r="I10" s="72"/>
      <c r="J10" s="72"/>
    </row>
    <row r="11" spans="1:10" ht="30" customHeight="1">
      <c r="A11" s="68" t="s">
        <v>586</v>
      </c>
      <c r="B11" s="68"/>
      <c r="C11" s="68"/>
      <c r="D11" s="68"/>
      <c r="E11" s="68"/>
      <c r="F11" s="68"/>
      <c r="G11" s="68"/>
      <c r="H11" s="68"/>
      <c r="I11" s="68"/>
      <c r="J11" s="68"/>
    </row>
    <row r="12" spans="1:10" ht="20" customHeight="1">
      <c r="A12" s="72" t="s">
        <v>178</v>
      </c>
      <c r="B12" s="72"/>
      <c r="C12" s="72"/>
      <c r="D12" s="72"/>
      <c r="E12" s="72"/>
      <c r="F12" s="72"/>
      <c r="G12" s="72"/>
      <c r="H12" s="72"/>
      <c r="I12" s="72"/>
      <c r="J12" s="72"/>
    </row>
    <row r="13" spans="1:10" ht="20" customHeight="1">
      <c r="A13" s="73" t="s">
        <v>179</v>
      </c>
      <c r="B13" s="73"/>
      <c r="C13" s="73"/>
      <c r="D13" s="73"/>
      <c r="E13" s="73"/>
      <c r="F13" s="73"/>
      <c r="G13" s="73"/>
      <c r="H13" s="73"/>
      <c r="I13" s="73"/>
      <c r="J13" s="73"/>
    </row>
    <row r="14" spans="1:10" ht="26" customHeight="1">
      <c r="A14" s="68" t="s">
        <v>558</v>
      </c>
      <c r="B14" s="68"/>
      <c r="C14" s="68"/>
      <c r="D14" s="68"/>
      <c r="E14" s="68"/>
      <c r="F14" s="68"/>
      <c r="G14" s="68"/>
      <c r="H14" s="68"/>
      <c r="I14" s="68"/>
      <c r="J14" s="68"/>
    </row>
    <row r="15" spans="1:10" ht="20" customHeight="1">
      <c r="A15" s="73" t="s">
        <v>180</v>
      </c>
      <c r="B15" s="73"/>
      <c r="C15" s="73"/>
      <c r="D15" s="73"/>
      <c r="E15" s="73"/>
      <c r="F15" s="73"/>
      <c r="G15" s="73"/>
      <c r="H15" s="73"/>
      <c r="I15" s="73"/>
      <c r="J15" s="73"/>
    </row>
    <row r="16" spans="1:10" ht="26" customHeight="1">
      <c r="A16" s="68" t="s">
        <v>559</v>
      </c>
      <c r="B16" s="68"/>
      <c r="C16" s="68"/>
      <c r="D16" s="68"/>
      <c r="E16" s="68"/>
      <c r="F16" s="68"/>
      <c r="G16" s="68"/>
      <c r="H16" s="68"/>
      <c r="I16" s="68"/>
      <c r="J16" s="68"/>
    </row>
    <row r="17" spans="1:10" ht="20" customHeight="1">
      <c r="A17" s="73" t="s">
        <v>181</v>
      </c>
      <c r="B17" s="73"/>
      <c r="C17" s="73"/>
      <c r="D17" s="73"/>
      <c r="E17" s="73"/>
      <c r="F17" s="73"/>
      <c r="G17" s="73"/>
      <c r="H17" s="73"/>
      <c r="I17" s="73"/>
      <c r="J17" s="73"/>
    </row>
    <row r="18" spans="1:10" ht="30" customHeight="1">
      <c r="A18" s="68" t="s">
        <v>587</v>
      </c>
      <c r="B18" s="69"/>
      <c r="C18" s="69"/>
      <c r="D18" s="69"/>
      <c r="E18" s="69"/>
      <c r="F18" s="69"/>
      <c r="G18" s="69"/>
      <c r="H18" s="69"/>
      <c r="I18" s="69"/>
      <c r="J18" s="69"/>
    </row>
    <row r="19" spans="1:10" ht="10" customHeight="1">
      <c r="A19" s="63"/>
      <c r="B19" s="63"/>
      <c r="C19" s="63"/>
      <c r="D19" s="63"/>
      <c r="E19" s="63"/>
      <c r="F19" s="63"/>
      <c r="G19" s="63"/>
      <c r="H19" s="63"/>
      <c r="I19" s="63"/>
      <c r="J19" s="63"/>
    </row>
    <row r="20" spans="1:10" ht="20" customHeight="1">
      <c r="A20" s="72" t="s">
        <v>182</v>
      </c>
      <c r="B20" s="72"/>
      <c r="C20" s="72"/>
      <c r="D20" s="72"/>
      <c r="E20" s="72"/>
      <c r="F20" s="72"/>
      <c r="G20" s="72"/>
      <c r="H20" s="72"/>
      <c r="I20" s="72"/>
      <c r="J20" s="72"/>
    </row>
    <row r="21" spans="1:10" ht="22" customHeight="1">
      <c r="A21" s="77" t="s">
        <v>575</v>
      </c>
      <c r="B21" s="77"/>
      <c r="C21" s="77"/>
      <c r="D21" s="77"/>
      <c r="E21" s="77"/>
      <c r="F21" s="77"/>
      <c r="G21" s="77"/>
      <c r="H21" s="77"/>
      <c r="I21" s="77"/>
      <c r="J21" s="77"/>
    </row>
    <row r="22" spans="1:10" ht="22" customHeight="1">
      <c r="A22" s="77" t="s">
        <v>576</v>
      </c>
      <c r="B22" s="77"/>
      <c r="C22" s="77"/>
      <c r="D22" s="77"/>
      <c r="E22" s="77"/>
      <c r="F22" s="77"/>
      <c r="G22" s="77"/>
      <c r="H22" s="77"/>
      <c r="I22" s="77"/>
      <c r="J22" s="77"/>
    </row>
    <row r="23" spans="1:10" ht="22" customHeight="1">
      <c r="A23" s="68" t="s">
        <v>577</v>
      </c>
      <c r="B23" s="69"/>
      <c r="C23" s="69"/>
      <c r="D23" s="69"/>
      <c r="E23" s="69"/>
      <c r="F23" s="69"/>
      <c r="G23" s="69"/>
      <c r="H23" s="69"/>
      <c r="I23" s="69"/>
      <c r="J23" s="69"/>
    </row>
    <row r="24" spans="1:10" ht="22" customHeight="1">
      <c r="A24" s="68" t="s">
        <v>578</v>
      </c>
      <c r="B24" s="69"/>
      <c r="C24" s="69"/>
      <c r="D24" s="69"/>
      <c r="E24" s="69"/>
      <c r="F24" s="69"/>
      <c r="G24" s="69"/>
      <c r="H24" s="69"/>
      <c r="I24" s="69"/>
      <c r="J24" s="69"/>
    </row>
    <row r="25" spans="1:10" ht="22" customHeight="1">
      <c r="A25" s="68" t="s">
        <v>579</v>
      </c>
      <c r="B25" s="69"/>
      <c r="C25" s="69"/>
      <c r="D25" s="69"/>
      <c r="E25" s="69"/>
      <c r="F25" s="69"/>
      <c r="G25" s="69"/>
      <c r="H25" s="69"/>
      <c r="I25" s="69"/>
      <c r="J25" s="69"/>
    </row>
    <row r="26" spans="1:10" ht="28" customHeight="1">
      <c r="A26" s="68" t="s">
        <v>580</v>
      </c>
      <c r="B26" s="69"/>
      <c r="C26" s="69"/>
      <c r="D26" s="69"/>
      <c r="E26" s="69"/>
      <c r="F26" s="69"/>
      <c r="G26" s="69"/>
      <c r="H26" s="69"/>
      <c r="I26" s="69"/>
      <c r="J26" s="69"/>
    </row>
    <row r="27" spans="1:10" ht="34" customHeight="1">
      <c r="A27" s="70" t="s">
        <v>560</v>
      </c>
      <c r="B27" s="71"/>
      <c r="C27" s="71"/>
      <c r="D27" s="71"/>
      <c r="E27" s="71"/>
      <c r="F27" s="71"/>
      <c r="G27" s="71"/>
      <c r="H27" s="71"/>
      <c r="I27" s="71"/>
      <c r="J27" s="71"/>
    </row>
    <row r="28" spans="1:10" ht="10" customHeight="1">
      <c r="A28" s="63"/>
      <c r="B28" s="63"/>
      <c r="C28" s="63"/>
      <c r="D28" s="63"/>
      <c r="E28" s="63"/>
      <c r="F28" s="63"/>
      <c r="G28" s="63"/>
      <c r="H28" s="63"/>
      <c r="I28" s="63"/>
      <c r="J28" s="63"/>
    </row>
    <row r="29" spans="1:10" ht="20" customHeight="1">
      <c r="A29" s="72" t="s">
        <v>183</v>
      </c>
      <c r="B29" s="72"/>
      <c r="C29" s="72"/>
      <c r="D29" s="72"/>
      <c r="E29" s="72"/>
      <c r="F29" s="72"/>
      <c r="G29" s="72"/>
      <c r="H29" s="72"/>
      <c r="I29" s="72"/>
      <c r="J29" s="72"/>
    </row>
    <row r="30" spans="1:10" ht="24" customHeight="1">
      <c r="A30" s="68" t="s">
        <v>561</v>
      </c>
      <c r="B30" s="68"/>
      <c r="C30" s="68"/>
      <c r="D30" s="68"/>
      <c r="E30" s="68"/>
      <c r="F30" s="68"/>
      <c r="G30" s="68"/>
      <c r="H30" s="68"/>
      <c r="I30" s="68"/>
      <c r="J30" s="68"/>
    </row>
    <row r="31" spans="1:10" ht="24" customHeight="1">
      <c r="A31" s="68" t="s">
        <v>562</v>
      </c>
      <c r="B31" s="68"/>
      <c r="C31" s="68"/>
      <c r="D31" s="68"/>
      <c r="E31" s="68"/>
      <c r="F31" s="68"/>
      <c r="G31" s="68"/>
      <c r="H31" s="68"/>
      <c r="I31" s="68"/>
      <c r="J31" s="68"/>
    </row>
    <row r="32" spans="1:10" ht="24" customHeight="1">
      <c r="A32" s="68" t="s">
        <v>563</v>
      </c>
      <c r="B32" s="68"/>
      <c r="C32" s="68"/>
      <c r="D32" s="68"/>
      <c r="E32" s="68"/>
      <c r="F32" s="68"/>
      <c r="G32" s="68"/>
      <c r="H32" s="68"/>
      <c r="I32" s="68"/>
      <c r="J32" s="68"/>
    </row>
    <row r="33" spans="1:10" ht="24" customHeight="1">
      <c r="A33" s="68" t="s">
        <v>564</v>
      </c>
      <c r="B33" s="69"/>
      <c r="C33" s="69"/>
      <c r="D33" s="69"/>
      <c r="E33" s="69"/>
      <c r="F33" s="69"/>
      <c r="G33" s="69"/>
      <c r="H33" s="69"/>
      <c r="I33" s="69"/>
      <c r="J33" s="69"/>
    </row>
    <row r="34" spans="1:10" ht="30" customHeight="1">
      <c r="A34" s="68" t="s">
        <v>565</v>
      </c>
      <c r="B34" s="69"/>
      <c r="C34" s="69"/>
      <c r="D34" s="69"/>
      <c r="E34" s="69"/>
      <c r="F34" s="69"/>
      <c r="G34" s="69"/>
      <c r="H34" s="69"/>
      <c r="I34" s="69"/>
      <c r="J34" s="69"/>
    </row>
    <row r="35" spans="1:10" ht="30" customHeight="1">
      <c r="A35" s="68" t="s">
        <v>566</v>
      </c>
      <c r="B35" s="69"/>
      <c r="C35" s="69"/>
      <c r="D35" s="69"/>
      <c r="E35" s="69"/>
      <c r="F35" s="69"/>
      <c r="G35" s="69"/>
      <c r="H35" s="69"/>
      <c r="I35" s="69"/>
      <c r="J35" s="69"/>
    </row>
    <row r="36" spans="1:10" ht="10" customHeight="1">
      <c r="A36" s="63"/>
      <c r="B36" s="63"/>
      <c r="C36" s="63"/>
      <c r="D36" s="63"/>
      <c r="E36" s="63"/>
      <c r="F36" s="63"/>
      <c r="G36" s="63"/>
      <c r="H36" s="63"/>
      <c r="I36" s="63"/>
      <c r="J36" s="63"/>
    </row>
    <row r="37" spans="1:10" ht="20" customHeight="1">
      <c r="A37" s="72" t="s">
        <v>184</v>
      </c>
      <c r="B37" s="72"/>
      <c r="C37" s="72"/>
      <c r="D37" s="72"/>
      <c r="E37" s="72"/>
      <c r="F37" s="72"/>
      <c r="G37" s="72"/>
      <c r="H37" s="72"/>
      <c r="I37" s="72"/>
      <c r="J37" s="72"/>
    </row>
    <row r="38" spans="1:10" ht="24" customHeight="1">
      <c r="A38" s="78" t="s">
        <v>185</v>
      </c>
      <c r="B38" s="78"/>
      <c r="C38" s="78"/>
      <c r="D38" s="79" t="s">
        <v>186</v>
      </c>
      <c r="E38" s="79"/>
      <c r="F38" s="79"/>
      <c r="G38" s="79"/>
      <c r="H38" s="79"/>
      <c r="I38" s="79"/>
      <c r="J38" s="79"/>
    </row>
    <row r="39" spans="1:10" ht="24" customHeight="1">
      <c r="A39" s="80" t="s">
        <v>187</v>
      </c>
      <c r="B39" s="80"/>
      <c r="C39" s="80"/>
      <c r="D39" s="81" t="str">
        <f>HYPERLINK("#'Formula Reference'!A1","Human-readable formula architecture")</f>
        <v>Human-readable formula architecture</v>
      </c>
      <c r="E39" s="82"/>
      <c r="F39" s="82"/>
      <c r="G39" s="82"/>
      <c r="H39" s="82"/>
      <c r="I39" s="82"/>
      <c r="J39" s="82"/>
    </row>
    <row r="40" spans="1:10" ht="24" customHeight="1">
      <c r="A40" s="80" t="s">
        <v>188</v>
      </c>
      <c r="B40" s="80"/>
      <c r="C40" s="80"/>
      <c r="D40" s="82" t="s">
        <v>581</v>
      </c>
      <c r="E40" s="82"/>
      <c r="F40" s="82"/>
      <c r="G40" s="82"/>
      <c r="H40" s="82"/>
      <c r="I40" s="82"/>
      <c r="J40" s="82"/>
    </row>
    <row r="41" spans="1:10" ht="24" customHeight="1">
      <c r="A41" s="80" t="s">
        <v>189</v>
      </c>
      <c r="B41" s="80"/>
      <c r="C41" s="80"/>
      <c r="D41" s="82" t="s">
        <v>190</v>
      </c>
      <c r="E41" s="82"/>
      <c r="F41" s="82"/>
      <c r="G41" s="82"/>
      <c r="H41" s="82"/>
      <c r="I41" s="82"/>
      <c r="J41" s="82"/>
    </row>
    <row r="42" spans="1:10" ht="26" customHeight="1">
      <c r="A42" s="102" t="s">
        <v>191</v>
      </c>
      <c r="B42" s="102"/>
      <c r="C42" s="102"/>
      <c r="D42" s="103" t="s">
        <v>588</v>
      </c>
      <c r="E42" s="103"/>
      <c r="F42" s="103"/>
      <c r="G42" s="103"/>
      <c r="H42" s="103"/>
      <c r="I42" s="103"/>
      <c r="J42" s="103"/>
    </row>
    <row r="43" spans="1:10" ht="10" customHeight="1">
      <c r="A43" s="63"/>
      <c r="B43" s="63"/>
      <c r="C43" s="63"/>
      <c r="D43" s="63"/>
      <c r="E43" s="63"/>
      <c r="F43" s="63"/>
      <c r="G43" s="63"/>
      <c r="H43" s="63"/>
      <c r="I43" s="63"/>
      <c r="J43" s="63"/>
    </row>
    <row r="44" spans="1:10" ht="20" customHeight="1">
      <c r="A44" s="72" t="s">
        <v>555</v>
      </c>
      <c r="B44" s="72"/>
      <c r="C44" s="72"/>
      <c r="D44" s="72"/>
      <c r="E44" s="72"/>
      <c r="F44" s="72"/>
      <c r="G44" s="72"/>
      <c r="H44" s="72"/>
      <c r="I44" s="72"/>
      <c r="J44" s="72"/>
    </row>
    <row r="45" spans="1:10" ht="30" customHeight="1">
      <c r="A45" s="85" t="s">
        <v>556</v>
      </c>
      <c r="B45" s="91"/>
      <c r="C45" s="91"/>
      <c r="D45" s="96" t="str">
        <f ca="1">COUNTIF(_Tests!$E:$E,"PASS")&amp;" checks passing · "&amp;COUNTIF(_Tests!$E:$E,"SKIP")&amp;" on demand"</f>
        <v>79 checks passing · 18 on demand</v>
      </c>
      <c r="E45" s="97"/>
      <c r="F45" s="97"/>
      <c r="G45" s="97"/>
      <c r="H45" s="97"/>
      <c r="I45" s="97"/>
      <c r="J45" s="98"/>
    </row>
    <row r="46" spans="1:10" ht="30" customHeight="1">
      <c r="A46" s="85" t="s">
        <v>557</v>
      </c>
      <c r="B46" s="91"/>
      <c r="C46" s="91"/>
      <c r="D46" s="99" t="s">
        <v>426</v>
      </c>
      <c r="E46" s="100"/>
      <c r="F46" s="100"/>
      <c r="G46" s="100"/>
      <c r="H46" s="100"/>
      <c r="I46" s="100"/>
      <c r="J46" s="101"/>
    </row>
    <row r="47" spans="1:10" ht="10" customHeight="1">
      <c r="A47" s="63"/>
      <c r="B47" s="63"/>
      <c r="C47" s="63"/>
      <c r="D47" s="63"/>
      <c r="E47" s="63"/>
      <c r="F47" s="63"/>
      <c r="G47" s="63"/>
      <c r="H47" s="63"/>
      <c r="I47" s="63"/>
      <c r="J47" s="63"/>
    </row>
    <row r="48" spans="1:10" ht="20" customHeight="1">
      <c r="A48" s="72" t="s">
        <v>192</v>
      </c>
      <c r="B48" s="72"/>
      <c r="C48" s="72"/>
      <c r="D48" s="72"/>
      <c r="E48" s="72"/>
      <c r="F48" s="72"/>
      <c r="G48" s="72"/>
      <c r="H48" s="72"/>
      <c r="I48" s="72"/>
      <c r="J48" s="72"/>
    </row>
    <row r="49" spans="1:10" ht="30" customHeight="1">
      <c r="A49" s="68" t="s">
        <v>567</v>
      </c>
      <c r="B49" s="68"/>
      <c r="C49" s="68"/>
      <c r="D49" s="68"/>
      <c r="E49" s="68"/>
      <c r="F49" s="68"/>
      <c r="G49" s="68"/>
      <c r="H49" s="68"/>
      <c r="I49" s="68"/>
      <c r="J49" s="68"/>
    </row>
    <row r="50" spans="1:10" ht="26" customHeight="1">
      <c r="A50" s="68" t="s">
        <v>568</v>
      </c>
      <c r="B50" s="68"/>
      <c r="C50" s="68"/>
      <c r="D50" s="68"/>
      <c r="E50" s="68"/>
      <c r="F50" s="68"/>
      <c r="G50" s="68"/>
      <c r="H50" s="68"/>
      <c r="I50" s="68"/>
      <c r="J50" s="68"/>
    </row>
    <row r="51" spans="1:10" ht="34" customHeight="1">
      <c r="A51" s="68" t="s">
        <v>569</v>
      </c>
      <c r="B51" s="68"/>
      <c r="C51" s="68"/>
      <c r="D51" s="68"/>
      <c r="E51" s="68"/>
      <c r="F51" s="68"/>
      <c r="G51" s="68"/>
      <c r="H51" s="68"/>
      <c r="I51" s="68"/>
      <c r="J51" s="68"/>
    </row>
    <row r="52" spans="1:10" ht="8" customHeight="1">
      <c r="A52" s="63"/>
      <c r="B52" s="63"/>
      <c r="C52" s="63"/>
      <c r="D52" s="63"/>
      <c r="E52" s="63"/>
      <c r="F52" s="63"/>
      <c r="G52" s="63"/>
      <c r="H52" s="63"/>
      <c r="I52" s="63"/>
      <c r="J52" s="63"/>
    </row>
    <row r="53" spans="1:10" ht="20" customHeight="1">
      <c r="A53" s="72" t="s">
        <v>589</v>
      </c>
      <c r="B53" s="72"/>
      <c r="C53" s="72"/>
      <c r="D53" s="72"/>
      <c r="E53" s="72"/>
      <c r="F53" s="72"/>
      <c r="G53" s="72"/>
      <c r="H53" s="72"/>
      <c r="I53" s="72"/>
      <c r="J53" s="72"/>
    </row>
    <row r="54" spans="1:10" ht="24" customHeight="1">
      <c r="A54" s="78" t="s">
        <v>590</v>
      </c>
      <c r="B54" s="78"/>
      <c r="C54" s="78"/>
      <c r="D54" s="79" t="s">
        <v>591</v>
      </c>
      <c r="E54" s="79"/>
      <c r="F54" s="79"/>
      <c r="G54" s="79"/>
      <c r="H54" s="79"/>
      <c r="I54" s="79"/>
      <c r="J54" s="79"/>
    </row>
    <row r="55" spans="1:10" ht="24" customHeight="1">
      <c r="A55" s="80" t="s">
        <v>592</v>
      </c>
      <c r="B55" s="80"/>
      <c r="C55" s="80"/>
      <c r="D55" s="129">
        <f>DATE(2026,7,27)</f>
        <v>46230</v>
      </c>
      <c r="E55" s="82"/>
      <c r="F55" s="82"/>
      <c r="G55" s="82"/>
      <c r="H55" s="82"/>
      <c r="I55" s="82"/>
      <c r="J55" s="82"/>
    </row>
    <row r="56" spans="1:10" ht="24" customHeight="1">
      <c r="A56" s="80" t="s">
        <v>593</v>
      </c>
      <c r="B56" s="80"/>
      <c r="C56" s="80"/>
      <c r="D56" s="82" t="s">
        <v>594</v>
      </c>
      <c r="E56" s="82"/>
      <c r="F56" s="82"/>
      <c r="G56" s="82"/>
      <c r="H56" s="82"/>
      <c r="I56" s="82"/>
      <c r="J56" s="82"/>
    </row>
    <row r="57" spans="1:10" ht="24" customHeight="1">
      <c r="A57" s="80" t="s">
        <v>595</v>
      </c>
      <c r="B57" s="80"/>
      <c r="C57" s="80"/>
      <c r="D57" s="82" t="s">
        <v>596</v>
      </c>
      <c r="E57" s="82"/>
      <c r="F57" s="82"/>
      <c r="G57" s="82"/>
      <c r="H57" s="82"/>
      <c r="I57" s="82"/>
      <c r="J57" s="82"/>
    </row>
    <row r="58" spans="1:10" ht="30" customHeight="1">
      <c r="A58" s="102" t="s">
        <v>597</v>
      </c>
      <c r="B58" s="102"/>
      <c r="C58" s="102"/>
      <c r="D58" s="103" t="s">
        <v>598</v>
      </c>
      <c r="E58" s="103"/>
      <c r="F58" s="103"/>
      <c r="G58" s="103"/>
      <c r="H58" s="103"/>
      <c r="I58" s="103"/>
      <c r="J58" s="103"/>
    </row>
    <row r="59" spans="1:10" ht="30" customHeight="1">
      <c r="A59" s="102" t="s">
        <v>599</v>
      </c>
      <c r="B59" s="102"/>
      <c r="C59" s="102"/>
      <c r="D59" s="103" t="s">
        <v>600</v>
      </c>
      <c r="E59" s="103"/>
      <c r="F59" s="103"/>
      <c r="G59" s="103"/>
      <c r="H59" s="103"/>
      <c r="I59" s="103"/>
      <c r="J59" s="103"/>
    </row>
  </sheetData>
  <mergeCells count="75">
    <mergeCell ref="A59:C59"/>
    <mergeCell ref="D59:J59"/>
    <mergeCell ref="A56:C56"/>
    <mergeCell ref="D56:J56"/>
    <mergeCell ref="A57:C57"/>
    <mergeCell ref="D57:J57"/>
    <mergeCell ref="A58:C58"/>
    <mergeCell ref="D58:J58"/>
    <mergeCell ref="A53:J53"/>
    <mergeCell ref="A54:C54"/>
    <mergeCell ref="D54:J54"/>
    <mergeCell ref="A55:C55"/>
    <mergeCell ref="D55:J55"/>
    <mergeCell ref="A40:C40"/>
    <mergeCell ref="D40:J40"/>
    <mergeCell ref="A41:C41"/>
    <mergeCell ref="D41:J41"/>
    <mergeCell ref="A42:C42"/>
    <mergeCell ref="D42:J42"/>
    <mergeCell ref="A48:J48"/>
    <mergeCell ref="A49:J49"/>
    <mergeCell ref="D45:J45"/>
    <mergeCell ref="A46:C46"/>
    <mergeCell ref="D46:J46"/>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38:C38"/>
    <mergeCell ref="D38:J38"/>
    <mergeCell ref="A39:C39"/>
    <mergeCell ref="D39:J39"/>
    <mergeCell ref="A30:J30"/>
    <mergeCell ref="A31:J31"/>
    <mergeCell ref="A32:J32"/>
    <mergeCell ref="A33:J33"/>
    <mergeCell ref="A34:J34"/>
    <mergeCell ref="A35:J35"/>
    <mergeCell ref="A37:J37"/>
    <mergeCell ref="A14:J14"/>
    <mergeCell ref="A20:J20"/>
    <mergeCell ref="A21:J21"/>
    <mergeCell ref="A22:J22"/>
    <mergeCell ref="A23:J23"/>
    <mergeCell ref="A1:J1"/>
    <mergeCell ref="A2:J2"/>
    <mergeCell ref="A4:J4"/>
    <mergeCell ref="A12:J12"/>
    <mergeCell ref="A13:J13"/>
    <mergeCell ref="A9:C9"/>
    <mergeCell ref="D9:E9"/>
    <mergeCell ref="F9:J9"/>
    <mergeCell ref="A10:J10"/>
    <mergeCell ref="A11:J11"/>
    <mergeCell ref="A25:J25"/>
    <mergeCell ref="A26:J26"/>
    <mergeCell ref="A27:J27"/>
    <mergeCell ref="A29:J29"/>
    <mergeCell ref="A15:J15"/>
    <mergeCell ref="A16:J16"/>
    <mergeCell ref="A17:J17"/>
    <mergeCell ref="A18:J18"/>
    <mergeCell ref="A24:J24"/>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B1" sqref="B1:BH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4" t="s">
        <v>549</v>
      </c>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c r="BG1" s="104"/>
      <c r="BH1" s="104"/>
    </row>
    <row r="2" spans="2:61" ht="18" customHeight="1">
      <c r="B2" s="105" t="s">
        <v>153</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06" t="s">
        <v>154</v>
      </c>
      <c r="AN4" s="106"/>
      <c r="AO4" s="106"/>
      <c r="AP4" s="106"/>
      <c r="AQ4" s="106"/>
      <c r="AR4" s="106"/>
      <c r="AS4" s="106"/>
      <c r="AT4" s="106"/>
      <c r="AU4" s="106"/>
      <c r="AV4" s="106"/>
      <c r="AW4" s="106"/>
      <c r="AX4" s="106"/>
      <c r="AY4" s="106"/>
      <c r="AZ4" s="106"/>
      <c r="BA4" s="106"/>
      <c r="BB4" s="106"/>
      <c r="BC4" s="106"/>
      <c r="BD4" s="106"/>
      <c r="BE4" s="106"/>
      <c r="BF4" s="106"/>
      <c r="BG4" s="106"/>
      <c r="BH4" s="106"/>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t="str">
        <f>IF(_Engine!D27="","",_Engine!D27)</f>
        <v/>
      </c>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07"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07"/>
      <c r="AO5" s="107"/>
      <c r="AP5" s="107"/>
      <c r="AQ5" s="107"/>
      <c r="AR5" s="107"/>
      <c r="AS5" s="107"/>
      <c r="AT5" s="107"/>
      <c r="AU5" s="107"/>
      <c r="AV5" s="107"/>
      <c r="AW5" s="107"/>
      <c r="AX5" s="107"/>
      <c r="AY5" s="107"/>
      <c r="AZ5" s="107"/>
      <c r="BA5" s="107"/>
      <c r="BB5" s="107"/>
      <c r="BC5" s="107"/>
      <c r="BD5" s="107"/>
      <c r="BE5" s="107"/>
      <c r="BF5" s="107"/>
      <c r="BG5" s="107"/>
      <c r="BH5" s="107"/>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08"/>
      <c r="AN6" s="108"/>
      <c r="AO6" s="108"/>
      <c r="AP6" s="108"/>
      <c r="AQ6" s="108"/>
      <c r="AR6" s="108"/>
      <c r="AS6" s="108"/>
      <c r="AT6" s="108"/>
      <c r="AU6" s="108"/>
      <c r="AV6" s="108"/>
      <c r="AW6" s="108"/>
      <c r="AX6" s="108"/>
      <c r="AY6" s="108"/>
      <c r="AZ6" s="108"/>
      <c r="BA6" s="108"/>
      <c r="BB6" s="108"/>
      <c r="BC6" s="108"/>
      <c r="BD6" s="108"/>
      <c r="BE6" s="108"/>
      <c r="BF6" s="108"/>
      <c r="BG6" s="108"/>
      <c r="BH6" s="108"/>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09" t="s">
        <v>156</v>
      </c>
      <c r="AN7" s="109"/>
      <c r="AO7" s="109"/>
      <c r="AP7" s="109"/>
      <c r="AQ7" s="109"/>
      <c r="AR7" s="109"/>
      <c r="AS7" s="109"/>
      <c r="AT7" s="9"/>
      <c r="AU7" s="109" t="s">
        <v>157</v>
      </c>
      <c r="AV7" s="109"/>
      <c r="AW7" s="109"/>
      <c r="AX7" s="109"/>
      <c r="AY7" s="109"/>
      <c r="AZ7" s="109"/>
      <c r="BA7" s="109"/>
      <c r="BB7" s="9"/>
      <c r="BC7" s="109" t="s">
        <v>151</v>
      </c>
      <c r="BD7" s="109"/>
      <c r="BE7" s="109"/>
      <c r="BF7" s="109"/>
      <c r="BG7" s="109"/>
      <c r="BH7" s="109"/>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10">
        <f>81-COUNT(_Engine!$B$3:$J$11)</f>
        <v>51</v>
      </c>
      <c r="AN8" s="110"/>
      <c r="AO8" s="110"/>
      <c r="AP8" s="110"/>
      <c r="AQ8" s="110"/>
      <c r="AR8" s="110"/>
      <c r="AS8" s="110"/>
      <c r="AT8" s="9"/>
      <c r="AU8" s="111">
        <f>COUNTIF(_Engine!$B$51:$J$59,TRUE)</f>
        <v>0</v>
      </c>
      <c r="AV8" s="111"/>
      <c r="AW8" s="111"/>
      <c r="AX8" s="111"/>
      <c r="AY8" s="111"/>
      <c r="AZ8" s="111"/>
      <c r="BA8" s="111"/>
      <c r="BB8" s="9"/>
      <c r="BC8" s="107" t="s">
        <v>150</v>
      </c>
      <c r="BD8" s="107"/>
      <c r="BE8" s="107"/>
      <c r="BF8" s="107"/>
      <c r="BG8" s="107"/>
      <c r="BH8" s="107"/>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10"/>
      <c r="AN9" s="110"/>
      <c r="AO9" s="110"/>
      <c r="AP9" s="110"/>
      <c r="AQ9" s="110"/>
      <c r="AR9" s="110"/>
      <c r="AS9" s="110"/>
      <c r="AT9" s="9"/>
      <c r="AU9" s="111"/>
      <c r="AV9" s="111"/>
      <c r="AW9" s="111"/>
      <c r="AX9" s="111"/>
      <c r="AY9" s="111"/>
      <c r="AZ9" s="111"/>
      <c r="BA9" s="111"/>
      <c r="BB9" s="9"/>
      <c r="BC9" s="107"/>
      <c r="BD9" s="107"/>
      <c r="BE9" s="107"/>
      <c r="BF9" s="107"/>
      <c r="BG9" s="107"/>
      <c r="BH9" s="107"/>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12" t="s">
        <v>149</v>
      </c>
      <c r="AN10" s="112"/>
      <c r="AO10" s="112"/>
      <c r="AP10" s="112"/>
      <c r="AQ10" s="112"/>
      <c r="AR10" s="112"/>
      <c r="AS10" s="72"/>
      <c r="AT10" s="72"/>
      <c r="AU10" s="72"/>
      <c r="AV10" s="72"/>
      <c r="AW10" s="72"/>
      <c r="AX10" s="72"/>
      <c r="AY10" s="72"/>
      <c r="AZ10" s="72"/>
      <c r="BA10" s="112"/>
      <c r="BB10" s="112"/>
      <c r="BC10" s="112"/>
      <c r="BD10" s="112"/>
      <c r="BE10" s="112"/>
      <c r="BF10" s="112"/>
      <c r="BG10" s="112"/>
      <c r="BH10" s="112"/>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13" t="s">
        <v>155</v>
      </c>
      <c r="AN11" s="113"/>
      <c r="AO11" s="113"/>
      <c r="AP11" s="113"/>
      <c r="AQ11" s="113"/>
      <c r="AR11" s="56"/>
      <c r="AS11" s="114" t="s">
        <v>40</v>
      </c>
      <c r="AT11" s="114"/>
      <c r="AU11" s="114"/>
      <c r="AV11" s="114"/>
      <c r="AW11" s="114"/>
      <c r="AX11" s="114"/>
      <c r="AY11" s="114"/>
      <c r="AZ11" s="114"/>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15" t="str" cm="1">
        <f t="array" ref="AM12">IF($AS$11="Off","",IF(COUNTIF(_Engine!$B$51:$J$59,TRUE)&gt;0,"Resolve the conflict before using Coach.",IF(_Engine!$B$99,_Engine!$B$98,IF($AS$11="Verify",_xlfn.SWITCH(_Engine!$B$100,"VIABLE","VIABLE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15"/>
      <c r="AO12" s="115"/>
      <c r="AP12" s="115"/>
      <c r="AQ12" s="115"/>
      <c r="AR12" s="115"/>
      <c r="AS12" s="115"/>
      <c r="AT12" s="115"/>
      <c r="AU12" s="115"/>
      <c r="AV12" s="115"/>
      <c r="AW12" s="115"/>
      <c r="AX12" s="115"/>
      <c r="AY12" s="115"/>
      <c r="AZ12" s="115"/>
      <c r="BA12" s="115"/>
      <c r="BB12" s="115"/>
      <c r="BC12" s="115"/>
      <c r="BD12" s="115"/>
      <c r="BE12" s="115"/>
      <c r="BF12" s="115"/>
      <c r="BG12" s="115"/>
      <c r="BH12" s="115"/>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15"/>
      <c r="AN13" s="115"/>
      <c r="AO13" s="115"/>
      <c r="AP13" s="115"/>
      <c r="AQ13" s="115"/>
      <c r="AR13" s="115"/>
      <c r="AS13" s="115"/>
      <c r="AT13" s="115"/>
      <c r="AU13" s="115"/>
      <c r="AV13" s="115"/>
      <c r="AW13" s="115"/>
      <c r="AX13" s="115"/>
      <c r="AY13" s="115"/>
      <c r="AZ13" s="115"/>
      <c r="BA13" s="115"/>
      <c r="BB13" s="115"/>
      <c r="BC13" s="115"/>
      <c r="BD13" s="115"/>
      <c r="BE13" s="115"/>
      <c r="BF13" s="115"/>
      <c r="BG13" s="115"/>
      <c r="BH13" s="115"/>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15"/>
      <c r="AN14" s="115"/>
      <c r="AO14" s="115"/>
      <c r="AP14" s="115"/>
      <c r="AQ14" s="115"/>
      <c r="AR14" s="115"/>
      <c r="AS14" s="115"/>
      <c r="AT14" s="115"/>
      <c r="AU14" s="115"/>
      <c r="AV14" s="115"/>
      <c r="AW14" s="115"/>
      <c r="AX14" s="115"/>
      <c r="AY14" s="115"/>
      <c r="AZ14" s="115"/>
      <c r="BA14" s="115"/>
      <c r="BB14" s="115"/>
      <c r="BC14" s="115"/>
      <c r="BD14" s="115"/>
      <c r="BE14" s="115"/>
      <c r="BF14" s="115"/>
      <c r="BG14" s="115"/>
      <c r="BH14" s="115"/>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15"/>
      <c r="AN15" s="115"/>
      <c r="AO15" s="115"/>
      <c r="AP15" s="115"/>
      <c r="AQ15" s="115"/>
      <c r="AR15" s="115"/>
      <c r="AS15" s="115"/>
      <c r="AT15" s="115"/>
      <c r="AU15" s="115"/>
      <c r="AV15" s="115"/>
      <c r="AW15" s="115"/>
      <c r="AX15" s="115"/>
      <c r="AY15" s="115"/>
      <c r="AZ15" s="115"/>
      <c r="BA15" s="115"/>
      <c r="BB15" s="115"/>
      <c r="BC15" s="115"/>
      <c r="BD15" s="115"/>
      <c r="BE15" s="115"/>
      <c r="BF15" s="115"/>
      <c r="BG15" s="115"/>
      <c r="BH15" s="115"/>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152</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0:BH10"/>
    <mergeCell ref="AM11:AQ11"/>
    <mergeCell ref="AS11:AZ11"/>
    <mergeCell ref="AM12:BH15"/>
    <mergeCell ref="AM16:BH16"/>
    <mergeCell ref="AM8:AS9"/>
    <mergeCell ref="AU7:BA7"/>
    <mergeCell ref="AU8:BA9"/>
    <mergeCell ref="BC7:BH7"/>
    <mergeCell ref="BC8:BH9"/>
    <mergeCell ref="B1:BH1"/>
    <mergeCell ref="B2:BH2"/>
    <mergeCell ref="AM4:BH4"/>
    <mergeCell ref="AM5:BH6"/>
    <mergeCell ref="AM7:AS7"/>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4" t="s">
        <v>550</v>
      </c>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c r="BG1" s="104"/>
      <c r="BH1" s="104"/>
    </row>
    <row r="2" spans="2:61" ht="18" customHeight="1">
      <c r="B2" s="105" t="s">
        <v>163</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06" t="s">
        <v>158</v>
      </c>
      <c r="AN4" s="106"/>
      <c r="AO4" s="106"/>
      <c r="AP4" s="106"/>
      <c r="AQ4" s="106"/>
      <c r="AR4" s="106"/>
      <c r="AS4" s="106"/>
      <c r="AT4" s="106"/>
      <c r="AU4" s="106"/>
      <c r="AV4" s="106"/>
      <c r="AW4" s="106"/>
      <c r="AX4" s="106"/>
      <c r="AY4" s="106"/>
      <c r="AZ4" s="106"/>
      <c r="BA4" s="106"/>
      <c r="BB4" s="106"/>
      <c r="BC4" s="106"/>
      <c r="BD4" s="106"/>
      <c r="BE4" s="106"/>
      <c r="BF4" s="106"/>
      <c r="BG4" s="106"/>
      <c r="BH4" s="106"/>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t="str">
        <f>IF('_Engine Medium'!B27="","",'_Engine Medium'!B27)</f>
        <v/>
      </c>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t="str">
        <f>IF('_Engine Medium'!C27="","",'_Engine Medium'!C27)</f>
        <v/>
      </c>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t="str">
        <f>IF('_Engine Medium'!D27="","",'_Engine Medium'!D27)</f>
        <v/>
      </c>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t="str">
        <f>IF('_Engine Medium'!G27="","",'_Engine Medium'!G27)</f>
        <v/>
      </c>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t="str">
        <f>IF('_Engine Medium'!I27="","",'_Engine Medium'!I27)</f>
        <v/>
      </c>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07"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07"/>
      <c r="AO5" s="107"/>
      <c r="AP5" s="107"/>
      <c r="AQ5" s="107"/>
      <c r="AR5" s="107"/>
      <c r="AS5" s="107"/>
      <c r="AT5" s="107"/>
      <c r="AU5" s="107"/>
      <c r="AV5" s="107"/>
      <c r="AW5" s="107"/>
      <c r="AX5" s="107"/>
      <c r="AY5" s="107"/>
      <c r="AZ5" s="107"/>
      <c r="BA5" s="107"/>
      <c r="BB5" s="107"/>
      <c r="BC5" s="107"/>
      <c r="BD5" s="107"/>
      <c r="BE5" s="107"/>
      <c r="BF5" s="107"/>
      <c r="BG5" s="107"/>
      <c r="BH5" s="107"/>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08"/>
      <c r="AN6" s="108"/>
      <c r="AO6" s="108"/>
      <c r="AP6" s="108"/>
      <c r="AQ6" s="108"/>
      <c r="AR6" s="108"/>
      <c r="AS6" s="108"/>
      <c r="AT6" s="108"/>
      <c r="AU6" s="108"/>
      <c r="AV6" s="108"/>
      <c r="AW6" s="108"/>
      <c r="AX6" s="108"/>
      <c r="AY6" s="108"/>
      <c r="AZ6" s="108"/>
      <c r="BA6" s="108"/>
      <c r="BB6" s="108"/>
      <c r="BC6" s="108"/>
      <c r="BD6" s="108"/>
      <c r="BE6" s="108"/>
      <c r="BF6" s="108"/>
      <c r="BG6" s="108"/>
      <c r="BH6" s="108"/>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09" t="s">
        <v>159</v>
      </c>
      <c r="AN7" s="109"/>
      <c r="AO7" s="109"/>
      <c r="AP7" s="109"/>
      <c r="AQ7" s="109"/>
      <c r="AR7" s="109"/>
      <c r="AS7" s="109"/>
      <c r="AT7" s="9"/>
      <c r="AU7" s="109" t="s">
        <v>160</v>
      </c>
      <c r="AV7" s="109"/>
      <c r="AW7" s="109"/>
      <c r="AX7" s="109"/>
      <c r="AY7" s="109"/>
      <c r="AZ7" s="109"/>
      <c r="BA7" s="109"/>
      <c r="BB7" s="9"/>
      <c r="BC7" s="109" t="s">
        <v>161</v>
      </c>
      <c r="BD7" s="109"/>
      <c r="BE7" s="109"/>
      <c r="BF7" s="109"/>
      <c r="BG7" s="109"/>
      <c r="BH7" s="109"/>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t="str">
        <f>IF('_Engine Medium'!D28="","",'_Engine Medium'!D28)</f>
        <v/>
      </c>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t="str">
        <f>IF('_Engine Medium'!E28="","",'_Engine Medium'!E28)</f>
        <v/>
      </c>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t="str">
        <f>IF('_Engine Medium'!G28="","",'_Engine Medium'!G28)</f>
        <v/>
      </c>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t="str">
        <f>IF('_Engine Medium'!H28="","",'_Engine Medium'!H28)</f>
        <v/>
      </c>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t="str">
        <f>IF('_Engine Medium'!J28="","",'_Engine Medium'!J28)</f>
        <v/>
      </c>
      <c r="AJ8" s="22" t="str" cm="1">
        <f t="array" ref="AJ8">IF('_Engine Medium'!J4&lt;&gt;"","",SDK_RenderDigit("Auto",$AK$9,'_Engine Medium'!J16,6))</f>
        <v/>
      </c>
      <c r="AK8" s="10"/>
      <c r="AM8" s="110">
        <f>81-COUNT('_Engine Medium'!$B$3:$J$11)</f>
        <v>45</v>
      </c>
      <c r="AN8" s="110"/>
      <c r="AO8" s="110"/>
      <c r="AP8" s="110"/>
      <c r="AQ8" s="110"/>
      <c r="AR8" s="110"/>
      <c r="AS8" s="110"/>
      <c r="AT8" s="9"/>
      <c r="AU8" s="111">
        <f>COUNTIF('_Engine Medium'!$B$51:$J$59,TRUE)</f>
        <v>0</v>
      </c>
      <c r="AV8" s="111"/>
      <c r="AW8" s="111"/>
      <c r="AX8" s="111"/>
      <c r="AY8" s="111"/>
      <c r="AZ8" s="111"/>
      <c r="BA8" s="111"/>
      <c r="BB8" s="9"/>
      <c r="BC8" s="107" t="s">
        <v>162</v>
      </c>
      <c r="BD8" s="107"/>
      <c r="BE8" s="107"/>
      <c r="BF8" s="107"/>
      <c r="BG8" s="107"/>
      <c r="BH8" s="107"/>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10"/>
      <c r="AN9" s="110"/>
      <c r="AO9" s="110"/>
      <c r="AP9" s="110"/>
      <c r="AQ9" s="110"/>
      <c r="AR9" s="110"/>
      <c r="AS9" s="110"/>
      <c r="AT9" s="9"/>
      <c r="AU9" s="111"/>
      <c r="AV9" s="111"/>
      <c r="AW9" s="111"/>
      <c r="AX9" s="111"/>
      <c r="AY9" s="111"/>
      <c r="AZ9" s="111"/>
      <c r="BA9" s="111"/>
      <c r="BB9" s="9"/>
      <c r="BC9" s="107"/>
      <c r="BD9" s="107"/>
      <c r="BE9" s="107"/>
      <c r="BF9" s="107"/>
      <c r="BG9" s="107"/>
      <c r="BH9" s="107"/>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149</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t="str">
        <f>IF('_Engine Medium'!D29="","",'_Engine Medium'!D29)</f>
        <v/>
      </c>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t="str">
        <f>IF('_Engine Medium'!E29="","",'_Engine Medium'!E29)</f>
        <v/>
      </c>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t="str">
        <f>IF('_Engine Medium'!F29="","",'_Engine Medium'!F29)</f>
        <v/>
      </c>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t="str">
        <f>IF('_Engine Medium'!I29="","",'_Engine Medium'!I29)</f>
        <v/>
      </c>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t="str">
        <f>IF('_Engine Medium'!J29="","",'_Engine Medium'!J29)</f>
        <v/>
      </c>
      <c r="AJ11" s="22" t="str" cm="1">
        <f t="array" ref="AJ11">IF('_Engine Medium'!J5&lt;&gt;"","",SDK_RenderDigit("Auto",$AK$12,'_Engine Medium'!J17,6))</f>
        <v/>
      </c>
      <c r="AK11" s="10"/>
      <c r="AM11" s="116" t="s">
        <v>155</v>
      </c>
      <c r="AN11" s="116"/>
      <c r="AO11" s="116"/>
      <c r="AP11" s="116"/>
      <c r="AQ11" s="116"/>
      <c r="AR11" s="56"/>
      <c r="AS11" s="117" t="s">
        <v>40</v>
      </c>
      <c r="AT11" s="117"/>
      <c r="AU11" s="117"/>
      <c r="AV11" s="117"/>
      <c r="AW11" s="117"/>
      <c r="AX11" s="117"/>
      <c r="AY11" s="117"/>
      <c r="AZ11" s="117"/>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15" t="str" cm="1">
        <f t="array" ref="AM12">IF($AS$11="Off","",IF(COUNTIF('_Engine Medium'!$B$51:$J$59,TRUE)&gt;0,"Resolve the conflict before using Coach.",IF('_Engine Medium'!$B$99,'_Engine Medium'!$B$98,IF($AS$11="Verify",_xlfn.SWITCH('_Engine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15"/>
      <c r="AO12" s="115"/>
      <c r="AP12" s="115"/>
      <c r="AQ12" s="115"/>
      <c r="AR12" s="115"/>
      <c r="AS12" s="115"/>
      <c r="AT12" s="115"/>
      <c r="AU12" s="115"/>
      <c r="AV12" s="115"/>
      <c r="AW12" s="115"/>
      <c r="AX12" s="115"/>
      <c r="AY12" s="115"/>
      <c r="AZ12" s="115"/>
      <c r="BA12" s="115"/>
      <c r="BB12" s="115"/>
      <c r="BC12" s="115"/>
      <c r="BD12" s="115"/>
      <c r="BE12" s="115"/>
      <c r="BF12" s="115"/>
      <c r="BG12" s="115"/>
      <c r="BH12" s="115"/>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15"/>
      <c r="AN13" s="115"/>
      <c r="AO13" s="115"/>
      <c r="AP13" s="115"/>
      <c r="AQ13" s="115"/>
      <c r="AR13" s="115"/>
      <c r="AS13" s="115"/>
      <c r="AT13" s="115"/>
      <c r="AU13" s="115"/>
      <c r="AV13" s="115"/>
      <c r="AW13" s="115"/>
      <c r="AX13" s="115"/>
      <c r="AY13" s="115"/>
      <c r="AZ13" s="115"/>
      <c r="BA13" s="115"/>
      <c r="BB13" s="115"/>
      <c r="BC13" s="115"/>
      <c r="BD13" s="115"/>
      <c r="BE13" s="115"/>
      <c r="BF13" s="115"/>
      <c r="BG13" s="115"/>
      <c r="BH13" s="115"/>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t="str">
        <f>IF('_Engine Medium'!D30="","",'_Engine Medium'!D30)</f>
        <v/>
      </c>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t="str">
        <f>IF('_Engine Medium'!F30="","",'_Engine Medium'!F30)</f>
        <v/>
      </c>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t="str">
        <f>IF('_Engine Medium'!G30="","",'_Engine Medium'!G30)</f>
        <v/>
      </c>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t="str">
        <f>IF('_Engine Medium'!H30="","",'_Engine Medium'!H30)</f>
        <v/>
      </c>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t="str">
        <f>IF('_Engine Medium'!J30="","",'_Engine Medium'!J30)</f>
        <v/>
      </c>
      <c r="AJ14" s="22" t="str" cm="1">
        <f t="array" ref="AJ14">IF('_Engine Medium'!J6&lt;&gt;"","",SDK_RenderDigit("Auto",$AK$15,'_Engine Medium'!J18,6))</f>
        <v/>
      </c>
      <c r="AK14" s="10"/>
      <c r="AM14" s="115"/>
      <c r="AN14" s="115"/>
      <c r="AO14" s="115"/>
      <c r="AP14" s="115"/>
      <c r="AQ14" s="115"/>
      <c r="AR14" s="115"/>
      <c r="AS14" s="115"/>
      <c r="AT14" s="115"/>
      <c r="AU14" s="115"/>
      <c r="AV14" s="115"/>
      <c r="AW14" s="115"/>
      <c r="AX14" s="115"/>
      <c r="AY14" s="115"/>
      <c r="AZ14" s="115"/>
      <c r="BA14" s="115"/>
      <c r="BB14" s="115"/>
      <c r="BC14" s="115"/>
      <c r="BD14" s="115"/>
      <c r="BE14" s="115"/>
      <c r="BF14" s="115"/>
      <c r="BG14" s="115"/>
      <c r="BH14" s="115"/>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15"/>
      <c r="AN15" s="115"/>
      <c r="AO15" s="115"/>
      <c r="AP15" s="115"/>
      <c r="AQ15" s="115"/>
      <c r="AR15" s="115"/>
      <c r="AS15" s="115"/>
      <c r="AT15" s="115"/>
      <c r="AU15" s="115"/>
      <c r="AV15" s="115"/>
      <c r="AW15" s="115"/>
      <c r="AX15" s="115"/>
      <c r="AY15" s="115"/>
      <c r="AZ15" s="115"/>
      <c r="BA15" s="115"/>
      <c r="BB15" s="115"/>
      <c r="BC15" s="115"/>
      <c r="BD15" s="115"/>
      <c r="BE15" s="115"/>
      <c r="BF15" s="115"/>
      <c r="BG15" s="115"/>
      <c r="BH15" s="115"/>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152</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t="str">
        <f>IF('_Engine Medium'!B31="","",'_Engine Medium'!B31)</f>
        <v/>
      </c>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t="str">
        <f>IF('_Engine Medium'!C31="","",'_Engine Medium'!C31)</f>
        <v/>
      </c>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t="str">
        <f>IF('_Engine Medium'!F31="","",'_Engine Medium'!F31)</f>
        <v/>
      </c>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t="str">
        <f>IF('_Engine Medium'!I31="","",'_Engine Medium'!I31)</f>
        <v/>
      </c>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t="str">
        <f>IF('_Engine Medium'!J31="","",'_Engine Medium'!J31)</f>
        <v/>
      </c>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t="str">
        <f>IF('_Engine Medium'!B32="","",'_Engine Medium'!B32)</f>
        <v/>
      </c>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t="str">
        <f>IF('_Engine Medium'!D32="","",'_Engine Medium'!D32)</f>
        <v/>
      </c>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t="str">
        <f>IF('_Engine Medium'!E32="","",'_Engine Medium'!E32)</f>
        <v/>
      </c>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t="str">
        <f>IF('_Engine Medium'!F32="","",'_Engine Medium'!F32)</f>
        <v/>
      </c>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t="str">
        <f>IF('_Engine Medium'!H32="","",'_Engine Medium'!H32)</f>
        <v/>
      </c>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t="str">
        <f>IF('_Engine Medium'!B33="","",'_Engine Medium'!B33)</f>
        <v/>
      </c>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t="str">
        <f>IF('_Engine Medium'!C33="","",'_Engine Medium'!C33)</f>
        <v/>
      </c>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t="str">
        <f>IF('_Engine Medium'!F33="","",'_Engine Medium'!F33)</f>
        <v/>
      </c>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t="str">
        <f>IF('_Engine Medium'!G33="","",'_Engine Medium'!G33)</f>
        <v/>
      </c>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t="str">
        <f>IF('_Engine Medium'!H33="","",'_Engine Medium'!H33)</f>
        <v/>
      </c>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t="str">
        <f>IF('_Engine Medium'!B34="","",'_Engine Medium'!B34)</f>
        <v/>
      </c>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t="str">
        <f>IF('_Engine Medium'!D34="","",'_Engine Medium'!D34)</f>
        <v/>
      </c>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t="str">
        <f>IF('_Engine Medium'!E34="","",'_Engine Medium'!E34)</f>
        <v/>
      </c>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t="str">
        <f>IF('_Engine Medium'!G34="","",'_Engine Medium'!G34)</f>
        <v/>
      </c>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t="str">
        <f>IF('_Engine Medium'!H34="","",'_Engine Medium'!H34)</f>
        <v/>
      </c>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t="str">
        <f>IF('_Engine Medium'!C35="","",'_Engine Medium'!C35)</f>
        <v/>
      </c>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t="str">
        <f>IF('_Engine Medium'!E35="","",'_Engine Medium'!E35)</f>
        <v/>
      </c>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t="str">
        <f>IF('_Engine Medium'!H35="","",'_Engine Medium'!H35)</f>
        <v/>
      </c>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t="str">
        <f>IF('_Engine Medium'!I35="","",'_Engine Medium'!I35)</f>
        <v/>
      </c>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t="str">
        <f>IF('_Engine Medium'!J35="","",'_Engine Medium'!J35)</f>
        <v/>
      </c>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4" t="s">
        <v>551</v>
      </c>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c r="BG1" s="104"/>
      <c r="BH1" s="104"/>
    </row>
    <row r="2" spans="2:61" ht="18" customHeight="1">
      <c r="B2" s="105" t="s">
        <v>164</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06" t="s">
        <v>158</v>
      </c>
      <c r="AN4" s="106"/>
      <c r="AO4" s="106"/>
      <c r="AP4" s="106"/>
      <c r="AQ4" s="106"/>
      <c r="AR4" s="106"/>
      <c r="AS4" s="106"/>
      <c r="AT4" s="106"/>
      <c r="AU4" s="106"/>
      <c r="AV4" s="106"/>
      <c r="AW4" s="106"/>
      <c r="AX4" s="106"/>
      <c r="AY4" s="106"/>
      <c r="AZ4" s="106"/>
      <c r="BA4" s="106"/>
      <c r="BB4" s="106"/>
      <c r="BC4" s="106"/>
      <c r="BD4" s="106"/>
      <c r="BE4" s="106"/>
      <c r="BF4" s="106"/>
      <c r="BG4" s="106"/>
      <c r="BH4" s="106"/>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t="str">
        <f>IF('_Engine Hard'!B27="","",'_Engine Hard'!B27)</f>
        <v/>
      </c>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t="str">
        <f>IF('_Engine Hard'!C27="","",'_Engine Hard'!C27)</f>
        <v/>
      </c>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t="str">
        <f>IF('_Engine Hard'!D27="","",'_Engine Hard'!D27)</f>
        <v/>
      </c>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t="str">
        <f>IF('_Engine Hard'!E27="","",'_Engine Hard'!E27)</f>
        <v/>
      </c>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t="str">
        <f>IF('_Engine Hard'!F27="","",'_Engine Hard'!F27)</f>
        <v/>
      </c>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t="str">
        <f>IF('_Engine Hard'!G27="","",'_Engine Hard'!G27)</f>
        <v/>
      </c>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t="str">
        <f>IF('_Engine Hard'!I27="","",'_Engine Hard'!I27)</f>
        <v/>
      </c>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07"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07"/>
      <c r="AO5" s="107"/>
      <c r="AP5" s="107"/>
      <c r="AQ5" s="107"/>
      <c r="AR5" s="107"/>
      <c r="AS5" s="107"/>
      <c r="AT5" s="107"/>
      <c r="AU5" s="107"/>
      <c r="AV5" s="107"/>
      <c r="AW5" s="107"/>
      <c r="AX5" s="107"/>
      <c r="AY5" s="107"/>
      <c r="AZ5" s="107"/>
      <c r="BA5" s="107"/>
      <c r="BB5" s="107"/>
      <c r="BC5" s="107"/>
      <c r="BD5" s="107"/>
      <c r="BE5" s="107"/>
      <c r="BF5" s="107"/>
      <c r="BG5" s="107"/>
      <c r="BH5" s="107"/>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08"/>
      <c r="AN6" s="108"/>
      <c r="AO6" s="108"/>
      <c r="AP6" s="108"/>
      <c r="AQ6" s="108"/>
      <c r="AR6" s="108"/>
      <c r="AS6" s="108"/>
      <c r="AT6" s="108"/>
      <c r="AU6" s="108"/>
      <c r="AV6" s="108"/>
      <c r="AW6" s="108"/>
      <c r="AX6" s="108"/>
      <c r="AY6" s="108"/>
      <c r="AZ6" s="108"/>
      <c r="BA6" s="108"/>
      <c r="BB6" s="108"/>
      <c r="BC6" s="108"/>
      <c r="BD6" s="108"/>
      <c r="BE6" s="108"/>
      <c r="BF6" s="108"/>
      <c r="BG6" s="108"/>
      <c r="BH6" s="108"/>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09" t="s">
        <v>159</v>
      </c>
      <c r="AN7" s="109"/>
      <c r="AO7" s="109"/>
      <c r="AP7" s="109"/>
      <c r="AQ7" s="109"/>
      <c r="AR7" s="109"/>
      <c r="AS7" s="109"/>
      <c r="AT7" s="9"/>
      <c r="AU7" s="109" t="s">
        <v>160</v>
      </c>
      <c r="AV7" s="109"/>
      <c r="AW7" s="109"/>
      <c r="AX7" s="109"/>
      <c r="AY7" s="109"/>
      <c r="AZ7" s="109"/>
      <c r="BA7" s="109"/>
      <c r="BB7" s="9"/>
      <c r="BC7" s="109" t="s">
        <v>161</v>
      </c>
      <c r="BD7" s="109"/>
      <c r="BE7" s="109"/>
      <c r="BF7" s="109"/>
      <c r="BG7" s="109"/>
      <c r="BH7" s="109"/>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t="str">
        <f>IF('_Engine Hard'!B28="","",'_Engine Hard'!B28)</f>
        <v/>
      </c>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t="str">
        <f>IF('_Engine Hard'!C28="","",'_Engine Hard'!C28)</f>
        <v/>
      </c>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t="str">
        <f>IF('_Engine Hard'!D28="","",'_Engine Hard'!D28)</f>
        <v/>
      </c>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t="str">
        <f>IF('_Engine Hard'!G28="","",'_Engine Hard'!G28)</f>
        <v/>
      </c>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t="str">
        <f>IF('_Engine Hard'!J28="","",'_Engine Hard'!J28)</f>
        <v/>
      </c>
      <c r="AJ8" s="22" t="str" cm="1">
        <f t="array" ref="AJ8">IF('_Engine Hard'!J4&lt;&gt;"","",SDK_RenderDigit("Auto",$AK$9,'_Engine Hard'!J16,6))</f>
        <v/>
      </c>
      <c r="AK8" s="10"/>
      <c r="AM8" s="110">
        <f>81-COUNT('_Engine Hard'!$B$3:$J$11)</f>
        <v>53</v>
      </c>
      <c r="AN8" s="110"/>
      <c r="AO8" s="110"/>
      <c r="AP8" s="110"/>
      <c r="AQ8" s="110"/>
      <c r="AR8" s="110"/>
      <c r="AS8" s="110"/>
      <c r="AT8" s="9"/>
      <c r="AU8" s="111">
        <f>COUNTIF('_Engine Hard'!$B$51:$J$59,TRUE)</f>
        <v>0</v>
      </c>
      <c r="AV8" s="111"/>
      <c r="AW8" s="111"/>
      <c r="AX8" s="111"/>
      <c r="AY8" s="111"/>
      <c r="AZ8" s="111"/>
      <c r="BA8" s="111"/>
      <c r="BB8" s="9"/>
      <c r="BC8" s="107" t="s">
        <v>162</v>
      </c>
      <c r="BD8" s="107"/>
      <c r="BE8" s="107"/>
      <c r="BF8" s="107"/>
      <c r="BG8" s="107"/>
      <c r="BH8" s="107"/>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10"/>
      <c r="AN9" s="110"/>
      <c r="AO9" s="110"/>
      <c r="AP9" s="110"/>
      <c r="AQ9" s="110"/>
      <c r="AR9" s="110"/>
      <c r="AS9" s="110"/>
      <c r="AT9" s="9"/>
      <c r="AU9" s="111"/>
      <c r="AV9" s="111"/>
      <c r="AW9" s="111"/>
      <c r="AX9" s="111"/>
      <c r="AY9" s="111"/>
      <c r="AZ9" s="111"/>
      <c r="BA9" s="111"/>
      <c r="BB9" s="9"/>
      <c r="BC9" s="107"/>
      <c r="BD9" s="107"/>
      <c r="BE9" s="107"/>
      <c r="BF9" s="107"/>
      <c r="BG9" s="107"/>
      <c r="BH9" s="107"/>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149</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t="str">
        <f>IF('_Engine Hard'!B29="","",'_Engine Hard'!B29)</f>
        <v/>
      </c>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t="str">
        <f>IF('_Engine Hard'!C29="","",'_Engine Hard'!C29)</f>
        <v/>
      </c>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t="str">
        <f>IF('_Engine Hard'!D29="","",'_Engine Hard'!D29)</f>
        <v/>
      </c>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t="str">
        <f>IF('_Engine Hard'!F29="","",'_Engine Hard'!F29)</f>
        <v/>
      </c>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t="str">
        <f>IF('_Engine Hard'!H29="","",'_Engine Hard'!H29)</f>
        <v/>
      </c>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6" t="s">
        <v>155</v>
      </c>
      <c r="AN11" s="116"/>
      <c r="AO11" s="116"/>
      <c r="AP11" s="116"/>
      <c r="AQ11" s="116"/>
      <c r="AR11" s="56"/>
      <c r="AS11" s="117" t="s">
        <v>40</v>
      </c>
      <c r="AT11" s="117"/>
      <c r="AU11" s="117"/>
      <c r="AV11" s="117"/>
      <c r="AW11" s="117"/>
      <c r="AX11" s="117"/>
      <c r="AY11" s="117"/>
      <c r="AZ11" s="117"/>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15" t="str" cm="1">
        <f t="array" ref="AM12">IF($AS$11="Off","",IF(COUNTIF('_Engine Hard'!$B$51:$J$59,TRUE)&gt;0,"Resolve the conflict before using Coach.",IF('_Engine Hard'!$B$99,'_Engine Hard'!$B$98,IF($AS$11="Verify",_xlfn.SWITCH('_Engine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15"/>
      <c r="AO12" s="115"/>
      <c r="AP12" s="115"/>
      <c r="AQ12" s="115"/>
      <c r="AR12" s="115"/>
      <c r="AS12" s="115"/>
      <c r="AT12" s="115"/>
      <c r="AU12" s="115"/>
      <c r="AV12" s="115"/>
      <c r="AW12" s="115"/>
      <c r="AX12" s="115"/>
      <c r="AY12" s="115"/>
      <c r="AZ12" s="115"/>
      <c r="BA12" s="115"/>
      <c r="BB12" s="115"/>
      <c r="BC12" s="115"/>
      <c r="BD12" s="115"/>
      <c r="BE12" s="115"/>
      <c r="BF12" s="115"/>
      <c r="BG12" s="115"/>
      <c r="BH12" s="115"/>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15"/>
      <c r="AN13" s="115"/>
      <c r="AO13" s="115"/>
      <c r="AP13" s="115"/>
      <c r="AQ13" s="115"/>
      <c r="AR13" s="115"/>
      <c r="AS13" s="115"/>
      <c r="AT13" s="115"/>
      <c r="AU13" s="115"/>
      <c r="AV13" s="115"/>
      <c r="AW13" s="115"/>
      <c r="AX13" s="115"/>
      <c r="AY13" s="115"/>
      <c r="AZ13" s="115"/>
      <c r="BA13" s="115"/>
      <c r="BB13" s="115"/>
      <c r="BC13" s="115"/>
      <c r="BD13" s="115"/>
      <c r="BE13" s="115"/>
      <c r="BF13" s="115"/>
      <c r="BG13" s="115"/>
      <c r="BH13" s="115"/>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t="str">
        <f>IF('_Engine Hard'!C30="","",'_Engine Hard'!C30)</f>
        <v/>
      </c>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t="str">
        <f>IF('_Engine Hard'!D30="","",'_Engine Hard'!D30)</f>
        <v/>
      </c>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t="str">
        <f>IF('_Engine Hard'!F30="","",'_Engine Hard'!F30)</f>
        <v/>
      </c>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t="str">
        <f>IF('_Engine Hard'!H30="","",'_Engine Hard'!H30)</f>
        <v/>
      </c>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t="str">
        <f>IF('_Engine Hard'!I30="","",'_Engine Hard'!I30)</f>
        <v/>
      </c>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t="str">
        <f>IF('_Engine Hard'!J30="","",'_Engine Hard'!J30)</f>
        <v/>
      </c>
      <c r="AJ14" s="22" t="str" cm="1">
        <f t="array" ref="AJ14">IF('_Engine Hard'!J6&lt;&gt;"","",SDK_RenderDigit("Auto",$AK$15,'_Engine Hard'!J18,6))</f>
        <v/>
      </c>
      <c r="AK14" s="10"/>
      <c r="AM14" s="115"/>
      <c r="AN14" s="115"/>
      <c r="AO14" s="115"/>
      <c r="AP14" s="115"/>
      <c r="AQ14" s="115"/>
      <c r="AR14" s="115"/>
      <c r="AS14" s="115"/>
      <c r="AT14" s="115"/>
      <c r="AU14" s="115"/>
      <c r="AV14" s="115"/>
      <c r="AW14" s="115"/>
      <c r="AX14" s="115"/>
      <c r="AY14" s="115"/>
      <c r="AZ14" s="115"/>
      <c r="BA14" s="115"/>
      <c r="BB14" s="115"/>
      <c r="BC14" s="115"/>
      <c r="BD14" s="115"/>
      <c r="BE14" s="115"/>
      <c r="BF14" s="115"/>
      <c r="BG14" s="115"/>
      <c r="BH14" s="115"/>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15"/>
      <c r="AN15" s="115"/>
      <c r="AO15" s="115"/>
      <c r="AP15" s="115"/>
      <c r="AQ15" s="115"/>
      <c r="AR15" s="115"/>
      <c r="AS15" s="115"/>
      <c r="AT15" s="115"/>
      <c r="AU15" s="115"/>
      <c r="AV15" s="115"/>
      <c r="AW15" s="115"/>
      <c r="AX15" s="115"/>
      <c r="AY15" s="115"/>
      <c r="AZ15" s="115"/>
      <c r="BA15" s="115"/>
      <c r="BB15" s="115"/>
      <c r="BC15" s="115"/>
      <c r="BD15" s="115"/>
      <c r="BE15" s="115"/>
      <c r="BF15" s="115"/>
      <c r="BG15" s="115"/>
      <c r="BH15" s="115"/>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152</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t="str">
        <f>IF('_Engine Hard'!B31="","",'_Engine Hard'!B31)</f>
        <v/>
      </c>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t="str">
        <f>IF('_Engine Hard'!D31="","",'_Engine Hard'!D31)</f>
        <v/>
      </c>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t="str">
        <f>IF('_Engine Hard'!E31="","",'_Engine Hard'!E31)</f>
        <v/>
      </c>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t="str">
        <f>IF('_Engine Hard'!F31="","",'_Engine Hard'!F31)</f>
        <v/>
      </c>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t="str">
        <f>IF('_Engine Hard'!G31="","",'_Engine Hard'!G31)</f>
        <v/>
      </c>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t="str">
        <f>IF('_Engine Hard'!H31="","",'_Engine Hard'!H31)</f>
        <v/>
      </c>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t="str">
        <f>IF('_Engine Hard'!J31="","",'_Engine Hard'!J31)</f>
        <v/>
      </c>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t="str">
        <f>IF('_Engine Hard'!B32="","",'_Engine Hard'!B32)</f>
        <v/>
      </c>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t="str">
        <f>IF('_Engine Hard'!C32="","",'_Engine Hard'!C32)</f>
        <v/>
      </c>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t="str">
        <f>IF('_Engine Hard'!D32="","",'_Engine Hard'!D32)</f>
        <v/>
      </c>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t="str">
        <f>IF('_Engine Hard'!F32="","",'_Engine Hard'!F32)</f>
        <v/>
      </c>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t="str">
        <f>IF('_Engine Hard'!H32="","",'_Engine Hard'!H32)</f>
        <v/>
      </c>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t="str">
        <f>IF('_Engine Hard'!I32="","",'_Engine Hard'!I32)</f>
        <v/>
      </c>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t="str">
        <f>IF('_Engine Hard'!D33="","",'_Engine Hard'!D33)</f>
        <v/>
      </c>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t="str">
        <f>IF('_Engine Hard'!F33="","",'_Engine Hard'!F33)</f>
        <v/>
      </c>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t="str">
        <f>IF('_Engine Hard'!H33="","",'_Engine Hard'!H33)</f>
        <v/>
      </c>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t="str">
        <f>IF('_Engine Hard'!I33="","",'_Engine Hard'!I33)</f>
        <v/>
      </c>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t="str">
        <f>IF('_Engine Hard'!J33="","",'_Engine Hard'!J33)</f>
        <v/>
      </c>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t="str">
        <f>IF('_Engine Hard'!B34="","",'_Engine Hard'!B34)</f>
        <v/>
      </c>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t="str">
        <f>IF('_Engine Hard'!E34="","",'_Engine Hard'!E34)</f>
        <v/>
      </c>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t="str">
        <f>IF('_Engine Hard'!H34="","",'_Engine Hard'!H34)</f>
        <v/>
      </c>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t="str">
        <f>IF('_Engine Hard'!I34="","",'_Engine Hard'!I34)</f>
        <v/>
      </c>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t="str">
        <f>IF('_Engine Hard'!J34="","",'_Engine Hard'!J34)</f>
        <v/>
      </c>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t="str">
        <f>IF('_Engine Hard'!C35="","",'_Engine Hard'!C35)</f>
        <v/>
      </c>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t="str">
        <f>IF('_Engine Hard'!E35="","",'_Engine Hard'!E35)</f>
        <v/>
      </c>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t="str">
        <f>IF('_Engine Hard'!F35="","",'_Engine Hard'!F35)</f>
        <v/>
      </c>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t="str">
        <f>IF('_Engine Hard'!G35="","",'_Engine Hard'!G35)</f>
        <v/>
      </c>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t="str">
        <f>IF('_Engine Hard'!H35="","",'_Engine Hard'!H35)</f>
        <v/>
      </c>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t="str">
        <f>IF('_Engine Hard'!I35="","",'_Engine Hard'!I35)</f>
        <v/>
      </c>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t="str">
        <f>IF('_Engine Hard'!J35="","",'_Engine Hard'!J35)</f>
        <v/>
      </c>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4" t="s">
        <v>552</v>
      </c>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c r="BG1" s="104"/>
      <c r="BH1" s="104"/>
    </row>
    <row r="2" spans="2:61" ht="18" customHeight="1">
      <c r="B2" s="105" t="s">
        <v>165</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06" t="s">
        <v>158</v>
      </c>
      <c r="AN4" s="106"/>
      <c r="AO4" s="106"/>
      <c r="AP4" s="106"/>
      <c r="AQ4" s="106"/>
      <c r="AR4" s="106"/>
      <c r="AS4" s="106"/>
      <c r="AT4" s="106"/>
      <c r="AU4" s="106"/>
      <c r="AV4" s="106"/>
      <c r="AW4" s="106"/>
      <c r="AX4" s="106"/>
      <c r="AY4" s="106"/>
      <c r="AZ4" s="106"/>
      <c r="BA4" s="106"/>
      <c r="BB4" s="106"/>
      <c r="BC4" s="106"/>
      <c r="BD4" s="106"/>
      <c r="BE4" s="106"/>
      <c r="BF4" s="106"/>
      <c r="BG4" s="106"/>
      <c r="BH4" s="106"/>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t="str">
        <f>IF('_Engine Expert'!B27="","",'_Engine Expert'!B27)</f>
        <v/>
      </c>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t="str">
        <f>IF('_Engine Expert'!D27="","",'_Engine Expert'!D27)</f>
        <v/>
      </c>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t="str">
        <f>IF('_Engine Expert'!E27="","",'_Engine Expert'!E27)</f>
        <v/>
      </c>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t="str">
        <f>IF('_Engine Expert'!F27="","",'_Engine Expert'!F27)</f>
        <v/>
      </c>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t="str">
        <f>IF('_Engine Expert'!G27="","",'_Engine Expert'!G27)</f>
        <v/>
      </c>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t="str">
        <f>IF('_Engine Expert'!H27="","",'_Engine Expert'!H27)</f>
        <v/>
      </c>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t="str">
        <f>IF('_Engine Expert'!J27="","",'_Engine Expert'!J27)</f>
        <v/>
      </c>
      <c r="AJ5" s="22" cm="1">
        <f t="array" ref="AJ5">IF('_Engine Expert'!J3&lt;&gt;"","",SDK_RenderDigit("Auto",$AK$6,'_Engine Expert'!J15,6))</f>
        <v>6</v>
      </c>
      <c r="AK5" s="10"/>
      <c r="AM5" s="107"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07"/>
      <c r="AO5" s="107"/>
      <c r="AP5" s="107"/>
      <c r="AQ5" s="107"/>
      <c r="AR5" s="107"/>
      <c r="AS5" s="107"/>
      <c r="AT5" s="107"/>
      <c r="AU5" s="107"/>
      <c r="AV5" s="107"/>
      <c r="AW5" s="107"/>
      <c r="AX5" s="107"/>
      <c r="AY5" s="107"/>
      <c r="AZ5" s="107"/>
      <c r="BA5" s="107"/>
      <c r="BB5" s="107"/>
      <c r="BC5" s="107"/>
      <c r="BD5" s="107"/>
      <c r="BE5" s="107"/>
      <c r="BF5" s="107"/>
      <c r="BG5" s="107"/>
      <c r="BH5" s="107"/>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08"/>
      <c r="AN6" s="108"/>
      <c r="AO6" s="108"/>
      <c r="AP6" s="108"/>
      <c r="AQ6" s="108"/>
      <c r="AR6" s="108"/>
      <c r="AS6" s="108"/>
      <c r="AT6" s="108"/>
      <c r="AU6" s="108"/>
      <c r="AV6" s="108"/>
      <c r="AW6" s="108"/>
      <c r="AX6" s="108"/>
      <c r="AY6" s="108"/>
      <c r="AZ6" s="108"/>
      <c r="BA6" s="108"/>
      <c r="BB6" s="108"/>
      <c r="BC6" s="108"/>
      <c r="BD6" s="108"/>
      <c r="BE6" s="108"/>
      <c r="BF6" s="108"/>
      <c r="BG6" s="108"/>
      <c r="BH6" s="108"/>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09" t="s">
        <v>159</v>
      </c>
      <c r="AN7" s="109"/>
      <c r="AO7" s="109"/>
      <c r="AP7" s="109"/>
      <c r="AQ7" s="109"/>
      <c r="AR7" s="109"/>
      <c r="AS7" s="109"/>
      <c r="AT7" s="9"/>
      <c r="AU7" s="109" t="s">
        <v>160</v>
      </c>
      <c r="AV7" s="109"/>
      <c r="AW7" s="109"/>
      <c r="AX7" s="109"/>
      <c r="AY7" s="109"/>
      <c r="AZ7" s="109"/>
      <c r="BA7" s="109"/>
      <c r="BB7" s="9"/>
      <c r="BC7" s="109" t="s">
        <v>161</v>
      </c>
      <c r="BD7" s="109"/>
      <c r="BE7" s="109"/>
      <c r="BF7" s="109"/>
      <c r="BG7" s="109"/>
      <c r="BH7" s="109"/>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t="str">
        <f>IF('_Engine Expert'!B28="","",'_Engine Expert'!B28)</f>
        <v/>
      </c>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t="str">
        <f>IF('_Engine Expert'!C28="","",'_Engine Expert'!C28)</f>
        <v/>
      </c>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t="str">
        <f>IF('_Engine Expert'!E28="","",'_Engine Expert'!E28)</f>
        <v/>
      </c>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t="str">
        <f>IF('_Engine Expert'!F28="","",'_Engine Expert'!F28)</f>
        <v/>
      </c>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t="str">
        <f>IF('_Engine Expert'!G28="","",'_Engine Expert'!G28)</f>
        <v/>
      </c>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t="str">
        <f>IF('_Engine Expert'!I28="","",'_Engine Expert'!I28)</f>
        <v/>
      </c>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t="str">
        <f>IF('_Engine Expert'!J28="","",'_Engine Expert'!J28)</f>
        <v/>
      </c>
      <c r="AJ8" s="22" cm="1">
        <f t="array" ref="AJ8">IF('_Engine Expert'!J4&lt;&gt;"","",SDK_RenderDigit("Auto",$AK$9,'_Engine Expert'!J16,6))</f>
        <v>6</v>
      </c>
      <c r="AK8" s="10"/>
      <c r="AM8" s="110">
        <f>81-COUNT('_Engine Expert'!$B$3:$J$11)</f>
        <v>54</v>
      </c>
      <c r="AN8" s="110"/>
      <c r="AO8" s="110"/>
      <c r="AP8" s="110"/>
      <c r="AQ8" s="110"/>
      <c r="AR8" s="110"/>
      <c r="AS8" s="110"/>
      <c r="AT8" s="9"/>
      <c r="AU8" s="111">
        <f>COUNTIF('_Engine Expert'!$B$51:$J$59,TRUE)</f>
        <v>0</v>
      </c>
      <c r="AV8" s="111"/>
      <c r="AW8" s="111"/>
      <c r="AX8" s="111"/>
      <c r="AY8" s="111"/>
      <c r="AZ8" s="111"/>
      <c r="BA8" s="111"/>
      <c r="BB8" s="9"/>
      <c r="BC8" s="107" t="s">
        <v>162</v>
      </c>
      <c r="BD8" s="107"/>
      <c r="BE8" s="107"/>
      <c r="BF8" s="107"/>
      <c r="BG8" s="107"/>
      <c r="BH8" s="107"/>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10"/>
      <c r="AN9" s="110"/>
      <c r="AO9" s="110"/>
      <c r="AP9" s="110"/>
      <c r="AQ9" s="110"/>
      <c r="AR9" s="110"/>
      <c r="AS9" s="110"/>
      <c r="AT9" s="9"/>
      <c r="AU9" s="111"/>
      <c r="AV9" s="111"/>
      <c r="AW9" s="111"/>
      <c r="AX9" s="111"/>
      <c r="AY9" s="111"/>
      <c r="AZ9" s="111"/>
      <c r="BA9" s="111"/>
      <c r="BB9" s="9"/>
      <c r="BC9" s="107"/>
      <c r="BD9" s="107"/>
      <c r="BE9" s="107"/>
      <c r="BF9" s="107"/>
      <c r="BG9" s="107"/>
      <c r="BH9" s="107"/>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149</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t="str">
        <f>IF('_Engine Expert'!B29="","",'_Engine Expert'!B29)</f>
        <v/>
      </c>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t="str">
        <f>IF('_Engine Expert'!C29="","",'_Engine Expert'!C29)</f>
        <v/>
      </c>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t="str">
        <f>IF('_Engine Expert'!F29="","",'_Engine Expert'!F29)</f>
        <v/>
      </c>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t="str">
        <f>IF('_Engine Expert'!I29="","",'_Engine Expert'!I29)</f>
        <v/>
      </c>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t="str">
        <f>IF('_Engine Expert'!J29="","",'_Engine Expert'!J29)</f>
        <v/>
      </c>
      <c r="AJ11" s="22" cm="1">
        <f t="array" ref="AJ11">IF('_Engine Expert'!J5&lt;&gt;"","",SDK_RenderDigit("Auto",$AK$12,'_Engine Expert'!J17,6))</f>
        <v>6</v>
      </c>
      <c r="AK11" s="10"/>
      <c r="AM11" s="116" t="s">
        <v>155</v>
      </c>
      <c r="AN11" s="116"/>
      <c r="AO11" s="116"/>
      <c r="AP11" s="116"/>
      <c r="AQ11" s="116"/>
      <c r="AR11" s="56"/>
      <c r="AS11" s="117" t="s">
        <v>40</v>
      </c>
      <c r="AT11" s="117"/>
      <c r="AU11" s="117"/>
      <c r="AV11" s="117"/>
      <c r="AW11" s="117"/>
      <c r="AX11" s="117"/>
      <c r="AY11" s="117"/>
      <c r="AZ11" s="117"/>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15" t="str" cm="1">
        <f t="array" ref="AM12">IF($AS$11="Off","",IF(COUNTIF('_Engine Expert'!$B$51:$J$59,TRUE)&gt;0,"Resolve the conflict before using Coach.",IF('_Engine Expert'!$B$99,'_Engine Expert'!$B$98,IF($AS$11="Verify",_xlfn.SWITCH('_Engine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15"/>
      <c r="AO12" s="115"/>
      <c r="AP12" s="115"/>
      <c r="AQ12" s="115"/>
      <c r="AR12" s="115"/>
      <c r="AS12" s="115"/>
      <c r="AT12" s="115"/>
      <c r="AU12" s="115"/>
      <c r="AV12" s="115"/>
      <c r="AW12" s="115"/>
      <c r="AX12" s="115"/>
      <c r="AY12" s="115"/>
      <c r="AZ12" s="115"/>
      <c r="BA12" s="115"/>
      <c r="BB12" s="115"/>
      <c r="BC12" s="115"/>
      <c r="BD12" s="115"/>
      <c r="BE12" s="115"/>
      <c r="BF12" s="115"/>
      <c r="BG12" s="115"/>
      <c r="BH12" s="115"/>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15"/>
      <c r="AN13" s="115"/>
      <c r="AO13" s="115"/>
      <c r="AP13" s="115"/>
      <c r="AQ13" s="115"/>
      <c r="AR13" s="115"/>
      <c r="AS13" s="115"/>
      <c r="AT13" s="115"/>
      <c r="AU13" s="115"/>
      <c r="AV13" s="115"/>
      <c r="AW13" s="115"/>
      <c r="AX13" s="115"/>
      <c r="AY13" s="115"/>
      <c r="AZ13" s="115"/>
      <c r="BA13" s="115"/>
      <c r="BB13" s="115"/>
      <c r="BC13" s="115"/>
      <c r="BD13" s="115"/>
      <c r="BE13" s="115"/>
      <c r="BF13" s="115"/>
      <c r="BG13" s="115"/>
      <c r="BH13" s="115"/>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t="str">
        <f>IF('_Engine Expert'!C30="","",'_Engine Expert'!C30)</f>
        <v/>
      </c>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t="str">
        <f>IF('_Engine Expert'!D30="","",'_Engine Expert'!D30)</f>
        <v/>
      </c>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t="str">
        <f>IF('_Engine Expert'!F30="","",'_Engine Expert'!F30)</f>
        <v/>
      </c>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t="str">
        <f>IF('_Engine Expert'!H30="","",'_Engine Expert'!H30)</f>
        <v/>
      </c>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t="str">
        <f>IF('_Engine Expert'!I30="","",'_Engine Expert'!I30)</f>
        <v/>
      </c>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15"/>
      <c r="AN14" s="115"/>
      <c r="AO14" s="115"/>
      <c r="AP14" s="115"/>
      <c r="AQ14" s="115"/>
      <c r="AR14" s="115"/>
      <c r="AS14" s="115"/>
      <c r="AT14" s="115"/>
      <c r="AU14" s="115"/>
      <c r="AV14" s="115"/>
      <c r="AW14" s="115"/>
      <c r="AX14" s="115"/>
      <c r="AY14" s="115"/>
      <c r="AZ14" s="115"/>
      <c r="BA14" s="115"/>
      <c r="BB14" s="115"/>
      <c r="BC14" s="115"/>
      <c r="BD14" s="115"/>
      <c r="BE14" s="115"/>
      <c r="BF14" s="115"/>
      <c r="BG14" s="115"/>
      <c r="BH14" s="115"/>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15"/>
      <c r="AN15" s="115"/>
      <c r="AO15" s="115"/>
      <c r="AP15" s="115"/>
      <c r="AQ15" s="115"/>
      <c r="AR15" s="115"/>
      <c r="AS15" s="115"/>
      <c r="AT15" s="115"/>
      <c r="AU15" s="115"/>
      <c r="AV15" s="115"/>
      <c r="AW15" s="115"/>
      <c r="AX15" s="115"/>
      <c r="AY15" s="115"/>
      <c r="AZ15" s="115"/>
      <c r="BA15" s="115"/>
      <c r="BB15" s="115"/>
      <c r="BC15" s="115"/>
      <c r="BD15" s="115"/>
      <c r="BE15" s="115"/>
      <c r="BF15" s="115"/>
      <c r="BG15" s="115"/>
      <c r="BH15" s="115"/>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152</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t="str">
        <f>IF('_Engine Expert'!B31="","",'_Engine Expert'!B31)</f>
        <v/>
      </c>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t="str">
        <f>IF('_Engine Expert'!D31="","",'_Engine Expert'!D31)</f>
        <v/>
      </c>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t="str">
        <f>IF('_Engine Expert'!E31="","",'_Engine Expert'!E31)</f>
        <v/>
      </c>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t="str">
        <f>IF('_Engine Expert'!G31="","",'_Engine Expert'!G31)</f>
        <v/>
      </c>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t="str">
        <f>IF('_Engine Expert'!H31="","",'_Engine Expert'!H31)</f>
        <v/>
      </c>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t="str">
        <f>IF('_Engine Expert'!J31="","",'_Engine Expert'!J31)</f>
        <v/>
      </c>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t="str">
        <f>IF('_Engine Expert'!C32="","",'_Engine Expert'!C32)</f>
        <v/>
      </c>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t="str">
        <f>IF('_Engine Expert'!D32="","",'_Engine Expert'!D32)</f>
        <v/>
      </c>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t="str">
        <f>IF('_Engine Expert'!F32="","",'_Engine Expert'!F32)</f>
        <v/>
      </c>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t="str">
        <f>IF('_Engine Expert'!H32="","",'_Engine Expert'!H32)</f>
        <v/>
      </c>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t="str">
        <f>IF('_Engine Expert'!I32="","",'_Engine Expert'!I32)</f>
        <v/>
      </c>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t="str">
        <f>IF('_Engine Expert'!B33="","",'_Engine Expert'!B33)</f>
        <v/>
      </c>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t="str">
        <f>IF('_Engine Expert'!C33="","",'_Engine Expert'!C33)</f>
        <v/>
      </c>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t="str">
        <f>IF('_Engine Expert'!F33="","",'_Engine Expert'!F33)</f>
        <v/>
      </c>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t="str">
        <f>IF('_Engine Expert'!I33="","",'_Engine Expert'!I33)</f>
        <v/>
      </c>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t="str">
        <f>IF('_Engine Expert'!J33="","",'_Engine Expert'!J33)</f>
        <v/>
      </c>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t="str">
        <f>IF('_Engine Expert'!B34="","",'_Engine Expert'!B34)</f>
        <v/>
      </c>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t="str">
        <f>IF('_Engine Expert'!C34="","",'_Engine Expert'!C34)</f>
        <v/>
      </c>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t="str">
        <f>IF('_Engine Expert'!E34="","",'_Engine Expert'!E34)</f>
        <v/>
      </c>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t="str">
        <f>IF('_Engine Expert'!F34="","",'_Engine Expert'!F34)</f>
        <v/>
      </c>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t="str">
        <f>IF('_Engine Expert'!G34="","",'_Engine Expert'!G34)</f>
        <v/>
      </c>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t="str">
        <f>IF('_Engine Expert'!I34="","",'_Engine Expert'!I34)</f>
        <v/>
      </c>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t="str">
        <f>IF('_Engine Expert'!J34="","",'_Engine Expert'!J34)</f>
        <v/>
      </c>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t="str">
        <f>IF('_Engine Expert'!B35="","",'_Engine Expert'!B35)</f>
        <v/>
      </c>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t="str">
        <f>IF('_Engine Expert'!D35="","",'_Engine Expert'!D35)</f>
        <v/>
      </c>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t="str">
        <f>IF('_Engine Expert'!E35="","",'_Engine Expert'!E35)</f>
        <v/>
      </c>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t="str">
        <f>IF('_Engine Expert'!F35="","",'_Engine Expert'!F35)</f>
        <v/>
      </c>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t="str">
        <f>IF('_Engine Expert'!G35="","",'_Engine Expert'!G35)</f>
        <v/>
      </c>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t="str">
        <f>IF('_Engine Expert'!H35="","",'_Engine Expert'!H35)</f>
        <v/>
      </c>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t="str">
        <f>IF('_Engine Expert'!J35="","",'_Engine Expert'!J35)</f>
        <v/>
      </c>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4" t="s">
        <v>553</v>
      </c>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c r="BG1" s="104"/>
      <c r="BH1" s="104"/>
    </row>
    <row r="2" spans="2:61" ht="18" customHeight="1">
      <c r="B2" s="105" t="s">
        <v>166</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06" t="s">
        <v>158</v>
      </c>
      <c r="AN4" s="106"/>
      <c r="AO4" s="106"/>
      <c r="AP4" s="106"/>
      <c r="AQ4" s="106"/>
      <c r="AR4" s="106"/>
      <c r="AS4" s="106"/>
      <c r="AT4" s="106"/>
      <c r="AU4" s="106"/>
      <c r="AV4" s="106"/>
      <c r="AW4" s="106"/>
      <c r="AX4" s="106"/>
      <c r="AY4" s="106"/>
      <c r="AZ4" s="106"/>
      <c r="BA4" s="106"/>
      <c r="BB4" s="106"/>
      <c r="BC4" s="106"/>
      <c r="BD4" s="106"/>
      <c r="BE4" s="106"/>
      <c r="BF4" s="106"/>
      <c r="BG4" s="106"/>
      <c r="BH4" s="106"/>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t="str">
        <f>IF('_Engine Master'!C27="","",'_Engine Master'!C27)</f>
        <v/>
      </c>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t="str">
        <f>IF('_Engine Master'!D27="","",'_Engine Master'!D27)</f>
        <v/>
      </c>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t="str">
        <f>IF('_Engine Master'!E27="","",'_Engine Master'!E27)</f>
        <v/>
      </c>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t="str">
        <f>IF('_Engine Master'!F27="","",'_Engine Master'!F27)</f>
        <v/>
      </c>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t="str">
        <f>IF('_Engine Master'!H27="","",'_Engine Master'!H27)</f>
        <v/>
      </c>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t="str">
        <f>IF('_Engine Master'!J27="","",'_Engine Master'!J27)</f>
        <v/>
      </c>
      <c r="AJ5" s="22" cm="1">
        <f t="array" ref="AJ5">IF('_Engine Master'!J3&lt;&gt;"","",SDK_RenderDigit("Auto",$AK$6,'_Engine Master'!J15,6))</f>
        <v>6</v>
      </c>
      <c r="AK5" s="10"/>
      <c r="AM5" s="107"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07"/>
      <c r="AO5" s="107"/>
      <c r="AP5" s="107"/>
      <c r="AQ5" s="107"/>
      <c r="AR5" s="107"/>
      <c r="AS5" s="107"/>
      <c r="AT5" s="107"/>
      <c r="AU5" s="107"/>
      <c r="AV5" s="107"/>
      <c r="AW5" s="107"/>
      <c r="AX5" s="107"/>
      <c r="AY5" s="107"/>
      <c r="AZ5" s="107"/>
      <c r="BA5" s="107"/>
      <c r="BB5" s="107"/>
      <c r="BC5" s="107"/>
      <c r="BD5" s="107"/>
      <c r="BE5" s="107"/>
      <c r="BF5" s="107"/>
      <c r="BG5" s="107"/>
      <c r="BH5" s="107"/>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08"/>
      <c r="AN6" s="108"/>
      <c r="AO6" s="108"/>
      <c r="AP6" s="108"/>
      <c r="AQ6" s="108"/>
      <c r="AR6" s="108"/>
      <c r="AS6" s="108"/>
      <c r="AT6" s="108"/>
      <c r="AU6" s="108"/>
      <c r="AV6" s="108"/>
      <c r="AW6" s="108"/>
      <c r="AX6" s="108"/>
      <c r="AY6" s="108"/>
      <c r="AZ6" s="108"/>
      <c r="BA6" s="108"/>
      <c r="BB6" s="108"/>
      <c r="BC6" s="108"/>
      <c r="BD6" s="108"/>
      <c r="BE6" s="108"/>
      <c r="BF6" s="108"/>
      <c r="BG6" s="108"/>
      <c r="BH6" s="108"/>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09" t="s">
        <v>159</v>
      </c>
      <c r="AN7" s="109"/>
      <c r="AO7" s="109"/>
      <c r="AP7" s="109"/>
      <c r="AQ7" s="109"/>
      <c r="AR7" s="109"/>
      <c r="AS7" s="109"/>
      <c r="AT7" s="9"/>
      <c r="AU7" s="109" t="s">
        <v>160</v>
      </c>
      <c r="AV7" s="109"/>
      <c r="AW7" s="109"/>
      <c r="AX7" s="109"/>
      <c r="AY7" s="109"/>
      <c r="AZ7" s="109"/>
      <c r="BA7" s="109"/>
      <c r="BB7" s="9"/>
      <c r="BC7" s="109" t="s">
        <v>161</v>
      </c>
      <c r="BD7" s="109"/>
      <c r="BE7" s="109"/>
      <c r="BF7" s="109"/>
      <c r="BG7" s="109"/>
      <c r="BH7" s="109"/>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t="str">
        <f>IF('_Engine Master'!B28="","",'_Engine Master'!B28)</f>
        <v/>
      </c>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t="str">
        <f>IF('_Engine Master'!D28="","",'_Engine Master'!D28)</f>
        <v/>
      </c>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t="str">
        <f>IF('_Engine Master'!E28="","",'_Engine Master'!E28)</f>
        <v/>
      </c>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t="str">
        <f>IF('_Engine Master'!G28="","",'_Engine Master'!G28)</f>
        <v/>
      </c>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t="str">
        <f>IF('_Engine Master'!H28="","",'_Engine Master'!H28)</f>
        <v/>
      </c>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t="str">
        <f>IF('_Engine Master'!I28="","",'_Engine Master'!I28)</f>
        <v/>
      </c>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10">
        <f>81-COUNT('_Engine Master'!$B$3:$J$11)</f>
        <v>58</v>
      </c>
      <c r="AN8" s="110"/>
      <c r="AO8" s="110"/>
      <c r="AP8" s="110"/>
      <c r="AQ8" s="110"/>
      <c r="AR8" s="110"/>
      <c r="AS8" s="110"/>
      <c r="AT8" s="9"/>
      <c r="AU8" s="111">
        <f>COUNTIF('_Engine Master'!$B$51:$J$59,TRUE)</f>
        <v>0</v>
      </c>
      <c r="AV8" s="111"/>
      <c r="AW8" s="111"/>
      <c r="AX8" s="111"/>
      <c r="AY8" s="111"/>
      <c r="AZ8" s="111"/>
      <c r="BA8" s="111"/>
      <c r="BB8" s="9"/>
      <c r="BC8" s="107" t="s">
        <v>162</v>
      </c>
      <c r="BD8" s="107"/>
      <c r="BE8" s="107"/>
      <c r="BF8" s="107"/>
      <c r="BG8" s="107"/>
      <c r="BH8" s="107"/>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10"/>
      <c r="AN9" s="110"/>
      <c r="AO9" s="110"/>
      <c r="AP9" s="110"/>
      <c r="AQ9" s="110"/>
      <c r="AR9" s="110"/>
      <c r="AS9" s="110"/>
      <c r="AT9" s="9"/>
      <c r="AU9" s="111"/>
      <c r="AV9" s="111"/>
      <c r="AW9" s="111"/>
      <c r="AX9" s="111"/>
      <c r="AY9" s="111"/>
      <c r="AZ9" s="111"/>
      <c r="BA9" s="111"/>
      <c r="BB9" s="9"/>
      <c r="BC9" s="107"/>
      <c r="BD9" s="107"/>
      <c r="BE9" s="107"/>
      <c r="BF9" s="107"/>
      <c r="BG9" s="107"/>
      <c r="BH9" s="107"/>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149</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t="str">
        <f>IF('_Engine Master'!B29="","",'_Engine Master'!B29)</f>
        <v/>
      </c>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t="str">
        <f>IF('_Engine Master'!C29="","",'_Engine Master'!C29)</f>
        <v/>
      </c>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t="str">
        <f>IF('_Engine Master'!F29="","",'_Engine Master'!F29)</f>
        <v/>
      </c>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t="str">
        <f>IF('_Engine Master'!G29="","",'_Engine Master'!G29)</f>
        <v/>
      </c>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t="str">
        <f>IF('_Engine Master'!I29="","",'_Engine Master'!I29)</f>
        <v/>
      </c>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t="str">
        <f>IF('_Engine Master'!J29="","",'_Engine Master'!J29)</f>
        <v/>
      </c>
      <c r="AJ11" s="22" t="str" cm="1">
        <f t="array" ref="AJ11">IF('_Engine Master'!J5&lt;&gt;"","",SDK_RenderDigit("Auto",$AK$12,'_Engine Master'!J17,6))</f>
        <v/>
      </c>
      <c r="AK11" s="10"/>
      <c r="AM11" s="116" t="s">
        <v>155</v>
      </c>
      <c r="AN11" s="116"/>
      <c r="AO11" s="116"/>
      <c r="AP11" s="116"/>
      <c r="AQ11" s="116"/>
      <c r="AR11" s="56"/>
      <c r="AS11" s="117" t="s">
        <v>40</v>
      </c>
      <c r="AT11" s="117"/>
      <c r="AU11" s="117"/>
      <c r="AV11" s="117"/>
      <c r="AW11" s="117"/>
      <c r="AX11" s="117"/>
      <c r="AY11" s="117"/>
      <c r="AZ11" s="117"/>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15" t="str" cm="1">
        <f t="array" ref="AM12">IF($AS$11="Off","",IF(COUNTIF('_Engine Master'!$B$51:$J$59,TRUE)&gt;0,"Resolve the conflict before using Coach.",IF('_Engine Master'!$B$99,'_Engine Master'!$B$98,IF($AS$11="Verify",_xlfn.SWITCH('_Engine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15"/>
      <c r="AO12" s="115"/>
      <c r="AP12" s="115"/>
      <c r="AQ12" s="115"/>
      <c r="AR12" s="115"/>
      <c r="AS12" s="115"/>
      <c r="AT12" s="115"/>
      <c r="AU12" s="115"/>
      <c r="AV12" s="115"/>
      <c r="AW12" s="115"/>
      <c r="AX12" s="115"/>
      <c r="AY12" s="115"/>
      <c r="AZ12" s="115"/>
      <c r="BA12" s="115"/>
      <c r="BB12" s="115"/>
      <c r="BC12" s="115"/>
      <c r="BD12" s="115"/>
      <c r="BE12" s="115"/>
      <c r="BF12" s="115"/>
      <c r="BG12" s="115"/>
      <c r="BH12" s="115"/>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15"/>
      <c r="AN13" s="115"/>
      <c r="AO13" s="115"/>
      <c r="AP13" s="115"/>
      <c r="AQ13" s="115"/>
      <c r="AR13" s="115"/>
      <c r="AS13" s="115"/>
      <c r="AT13" s="115"/>
      <c r="AU13" s="115"/>
      <c r="AV13" s="115"/>
      <c r="AW13" s="115"/>
      <c r="AX13" s="115"/>
      <c r="AY13" s="115"/>
      <c r="AZ13" s="115"/>
      <c r="BA13" s="115"/>
      <c r="BB13" s="115"/>
      <c r="BC13" s="115"/>
      <c r="BD13" s="115"/>
      <c r="BE13" s="115"/>
      <c r="BF13" s="115"/>
      <c r="BG13" s="115"/>
      <c r="BH13" s="115"/>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t="str">
        <f>IF('_Engine Master'!B30="","",'_Engine Master'!B30)</f>
        <v/>
      </c>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t="str">
        <f>IF('_Engine Master'!C30="","",'_Engine Master'!C30)</f>
        <v/>
      </c>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t="str">
        <f>IF('_Engine Master'!F30="","",'_Engine Master'!F30)</f>
        <v/>
      </c>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t="str">
        <f>IF('_Engine Master'!G30="","",'_Engine Master'!G30)</f>
        <v/>
      </c>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t="str">
        <f>IF('_Engine Master'!I30="","",'_Engine Master'!I30)</f>
        <v/>
      </c>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t="str">
        <f>IF('_Engine Master'!J30="","",'_Engine Master'!J30)</f>
        <v/>
      </c>
      <c r="AJ14" s="22" cm="1">
        <f t="array" ref="AJ14">IF('_Engine Master'!J6&lt;&gt;"","",SDK_RenderDigit("Auto",$AK$15,'_Engine Master'!J18,6))</f>
        <v>6</v>
      </c>
      <c r="AK14" s="10"/>
      <c r="AM14" s="115"/>
      <c r="AN14" s="115"/>
      <c r="AO14" s="115"/>
      <c r="AP14" s="115"/>
      <c r="AQ14" s="115"/>
      <c r="AR14" s="115"/>
      <c r="AS14" s="115"/>
      <c r="AT14" s="115"/>
      <c r="AU14" s="115"/>
      <c r="AV14" s="115"/>
      <c r="AW14" s="115"/>
      <c r="AX14" s="115"/>
      <c r="AY14" s="115"/>
      <c r="AZ14" s="115"/>
      <c r="BA14" s="115"/>
      <c r="BB14" s="115"/>
      <c r="BC14" s="115"/>
      <c r="BD14" s="115"/>
      <c r="BE14" s="115"/>
      <c r="BF14" s="115"/>
      <c r="BG14" s="115"/>
      <c r="BH14" s="115"/>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15"/>
      <c r="AN15" s="115"/>
      <c r="AO15" s="115"/>
      <c r="AP15" s="115"/>
      <c r="AQ15" s="115"/>
      <c r="AR15" s="115"/>
      <c r="AS15" s="115"/>
      <c r="AT15" s="115"/>
      <c r="AU15" s="115"/>
      <c r="AV15" s="115"/>
      <c r="AW15" s="115"/>
      <c r="AX15" s="115"/>
      <c r="AY15" s="115"/>
      <c r="AZ15" s="115"/>
      <c r="BA15" s="115"/>
      <c r="BB15" s="115"/>
      <c r="BC15" s="115"/>
      <c r="BD15" s="115"/>
      <c r="BE15" s="115"/>
      <c r="BF15" s="115"/>
      <c r="BG15" s="115"/>
      <c r="BH15" s="115"/>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152</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t="str">
        <f>IF('_Engine Master'!B31="","",'_Engine Master'!B31)</f>
        <v/>
      </c>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t="str">
        <f>IF('_Engine Master'!D31="","",'_Engine Master'!D31)</f>
        <v/>
      </c>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t="str">
        <f>IF('_Engine Master'!E31="","",'_Engine Master'!E31)</f>
        <v/>
      </c>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t="str">
        <f>IF('_Engine Master'!G31="","",'_Engine Master'!G31)</f>
        <v/>
      </c>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t="str">
        <f>IF('_Engine Master'!H31="","",'_Engine Master'!H31)</f>
        <v/>
      </c>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t="str">
        <f>IF('_Engine Master'!I31="","",'_Engine Master'!I31)</f>
        <v/>
      </c>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t="str">
        <f>IF('_Engine Master'!C32="","",'_Engine Master'!C32)</f>
        <v/>
      </c>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t="str">
        <f>IF('_Engine Master'!D32="","",'_Engine Master'!D32)</f>
        <v/>
      </c>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t="str">
        <f>IF('_Engine Master'!E32="","",'_Engine Master'!E32)</f>
        <v/>
      </c>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t="str">
        <f>IF('_Engine Master'!F32="","",'_Engine Master'!F32)</f>
        <v/>
      </c>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t="str">
        <f>IF('_Engine Master'!H32="","",'_Engine Master'!H32)</f>
        <v/>
      </c>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t="str">
        <f>IF('_Engine Master'!I32="","",'_Engine Master'!I32)</f>
        <v/>
      </c>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t="str">
        <f>IF('_Engine Master'!J32="","",'_Engine Master'!J32)</f>
        <v/>
      </c>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t="str">
        <f>IF('_Engine Master'!C33="","",'_Engine Master'!C33)</f>
        <v/>
      </c>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t="str">
        <f>IF('_Engine Master'!D33="","",'_Engine Master'!D33)</f>
        <v/>
      </c>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t="str">
        <f>IF('_Engine Master'!E33="","",'_Engine Master'!E33)</f>
        <v/>
      </c>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t="str">
        <f>IF('_Engine Master'!F33="","",'_Engine Master'!F33)</f>
        <v/>
      </c>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t="str">
        <f>IF('_Engine Master'!G33="","",'_Engine Master'!G33)</f>
        <v/>
      </c>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t="str">
        <f>IF('_Engine Master'!H33="","",'_Engine Master'!H33)</f>
        <v/>
      </c>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t="str">
        <f>IF('_Engine Master'!J33="","",'_Engine Master'!J33)</f>
        <v/>
      </c>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t="str">
        <f>IF('_Engine Master'!B34="","",'_Engine Master'!B34)</f>
        <v/>
      </c>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t="str">
        <f>IF('_Engine Master'!D34="","",'_Engine Master'!D34)</f>
        <v/>
      </c>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t="str">
        <f>IF('_Engine Master'!E34="","",'_Engine Master'!E34)</f>
        <v/>
      </c>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t="str">
        <f>IF('_Engine Master'!F34="","",'_Engine Master'!F34)</f>
        <v/>
      </c>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t="str">
        <f>IF('_Engine Master'!G34="","",'_Engine Master'!G34)</f>
        <v/>
      </c>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t="str">
        <f>IF('_Engine Master'!H34="","",'_Engine Master'!H34)</f>
        <v/>
      </c>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t="str">
        <f>IF('_Engine Master'!I34="","",'_Engine Master'!I34)</f>
        <v/>
      </c>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t="str">
        <f>IF('_Engine Master'!B35="","",'_Engine Master'!B35)</f>
        <v/>
      </c>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t="str">
        <f>IF('_Engine Master'!C35="","",'_Engine Master'!C35)</f>
        <v/>
      </c>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t="str">
        <f>IF('_Engine Master'!E35="","",'_Engine Master'!E35)</f>
        <v/>
      </c>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t="str">
        <f>IF('_Engine Master'!F35="","",'_Engine Master'!F35)</f>
        <v/>
      </c>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t="str">
        <f>IF('_Engine Master'!G35="","",'_Engine Master'!G35)</f>
        <v/>
      </c>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t="str">
        <f>IF('_Engine Master'!I35="","",'_Engine Master'!I35)</f>
        <v/>
      </c>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t="str">
        <f>IF('_Engine Master'!J35="","",'_Engine Master'!J35)</f>
        <v/>
      </c>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8" t="s">
        <v>571</v>
      </c>
      <c r="B1" s="119"/>
      <c r="C1" s="119"/>
      <c r="D1" s="119"/>
      <c r="E1" s="119"/>
      <c r="F1" s="119"/>
    </row>
    <row r="2" spans="1:6" ht="18" customHeight="1">
      <c r="A2" s="121" t="s">
        <v>572</v>
      </c>
      <c r="B2" s="121"/>
      <c r="C2" s="121"/>
      <c r="D2" s="121"/>
      <c r="E2" s="121"/>
      <c r="F2" s="121"/>
    </row>
    <row r="3" spans="1:6" ht="7" customHeight="1">
      <c r="A3" s="122"/>
      <c r="B3" s="122"/>
      <c r="C3" s="122"/>
      <c r="D3" s="122"/>
      <c r="E3" s="122"/>
      <c r="F3" s="122"/>
    </row>
    <row r="4" spans="1:6" ht="5" customHeight="1">
      <c r="A4" s="64"/>
      <c r="B4" s="64"/>
      <c r="C4" s="64"/>
      <c r="D4" s="64"/>
      <c r="E4" s="64"/>
      <c r="F4" s="64"/>
    </row>
    <row r="5" spans="1:6" ht="22" customHeight="1">
      <c r="A5" s="123" t="s">
        <v>573</v>
      </c>
      <c r="B5" s="123"/>
      <c r="C5" s="123"/>
      <c r="D5" s="123"/>
      <c r="E5" s="123"/>
      <c r="F5" s="123"/>
    </row>
    <row r="6" spans="1:6" ht="21" customHeight="1" thickBot="1">
      <c r="A6" s="65" t="s">
        <v>193</v>
      </c>
      <c r="B6" s="65" t="s">
        <v>194</v>
      </c>
      <c r="C6" s="65" t="s">
        <v>195</v>
      </c>
      <c r="D6" s="65" t="s">
        <v>6</v>
      </c>
      <c r="E6" s="65" t="s">
        <v>7</v>
      </c>
      <c r="F6" s="65" t="s">
        <v>8</v>
      </c>
    </row>
    <row r="7" spans="1:6" ht="19" customHeight="1">
      <c r="A7" s="124" t="s">
        <v>196</v>
      </c>
      <c r="B7" s="124"/>
      <c r="C7" s="124"/>
      <c r="D7" s="124"/>
      <c r="E7" s="124"/>
      <c r="F7" s="124"/>
    </row>
    <row r="8" spans="1:6" ht="28">
      <c r="A8" s="67" t="s">
        <v>1</v>
      </c>
      <c r="B8" s="66" t="s">
        <v>199</v>
      </c>
      <c r="C8" s="66" t="s">
        <v>200</v>
      </c>
      <c r="D8" s="66" t="s">
        <v>18</v>
      </c>
      <c r="E8" s="66" t="s">
        <v>201</v>
      </c>
      <c r="F8" s="66" t="s">
        <v>202</v>
      </c>
    </row>
    <row r="9" spans="1:6" ht="28">
      <c r="A9" s="67" t="s">
        <v>9</v>
      </c>
      <c r="B9" s="66" t="s">
        <v>203</v>
      </c>
      <c r="C9" s="66" t="s">
        <v>10</v>
      </c>
      <c r="D9" s="66" t="s">
        <v>11</v>
      </c>
      <c r="E9" s="66" t="s">
        <v>204</v>
      </c>
      <c r="F9" s="66" t="s">
        <v>339</v>
      </c>
    </row>
    <row r="10" spans="1:6">
      <c r="A10" s="67" t="s">
        <v>107</v>
      </c>
      <c r="B10" s="66" t="s">
        <v>205</v>
      </c>
      <c r="C10" s="66" t="s">
        <v>42</v>
      </c>
      <c r="D10" s="66" t="s">
        <v>108</v>
      </c>
      <c r="E10" s="66" t="s">
        <v>206</v>
      </c>
      <c r="F10" s="66" t="s">
        <v>207</v>
      </c>
    </row>
    <row r="11" spans="1:6">
      <c r="A11" s="67" t="s">
        <v>12</v>
      </c>
      <c r="B11" s="66" t="s">
        <v>208</v>
      </c>
      <c r="C11" s="66" t="s">
        <v>10</v>
      </c>
      <c r="D11" s="66" t="s">
        <v>209</v>
      </c>
      <c r="E11" s="66" t="s">
        <v>210</v>
      </c>
      <c r="F11" s="66" t="s">
        <v>211</v>
      </c>
    </row>
    <row r="12" spans="1:6">
      <c r="A12" s="67" t="s">
        <v>13</v>
      </c>
      <c r="B12" s="66" t="s">
        <v>212</v>
      </c>
      <c r="C12" s="66" t="s">
        <v>14</v>
      </c>
      <c r="D12" s="66" t="s">
        <v>209</v>
      </c>
      <c r="E12" s="66" t="s">
        <v>213</v>
      </c>
      <c r="F12" s="66" t="s">
        <v>214</v>
      </c>
    </row>
    <row r="13" spans="1:6" ht="19" customHeight="1">
      <c r="A13" s="120" t="s">
        <v>197</v>
      </c>
      <c r="B13" s="120"/>
      <c r="C13" s="120"/>
      <c r="D13" s="120"/>
      <c r="E13" s="120"/>
      <c r="F13" s="120"/>
    </row>
    <row r="14" spans="1:6">
      <c r="A14" s="67" t="s">
        <v>41</v>
      </c>
      <c r="B14" s="66" t="s">
        <v>215</v>
      </c>
      <c r="C14" s="66" t="s">
        <v>42</v>
      </c>
      <c r="D14" s="66" t="s">
        <v>216</v>
      </c>
      <c r="E14" s="66" t="s">
        <v>217</v>
      </c>
      <c r="F14" s="66" t="s">
        <v>218</v>
      </c>
    </row>
    <row r="15" spans="1:6" ht="28">
      <c r="A15" s="67" t="s">
        <v>44</v>
      </c>
      <c r="B15" s="66" t="s">
        <v>219</v>
      </c>
      <c r="C15" s="66" t="s">
        <v>42</v>
      </c>
      <c r="D15" s="66" t="s">
        <v>216</v>
      </c>
      <c r="E15" s="66" t="s">
        <v>217</v>
      </c>
      <c r="F15" s="66" t="s">
        <v>45</v>
      </c>
    </row>
    <row r="16" spans="1:6" ht="28">
      <c r="A16" s="67" t="s">
        <v>46</v>
      </c>
      <c r="B16" s="66" t="s">
        <v>220</v>
      </c>
      <c r="C16" s="66" t="s">
        <v>42</v>
      </c>
      <c r="D16" s="66" t="s">
        <v>216</v>
      </c>
      <c r="E16" s="66" t="s">
        <v>217</v>
      </c>
      <c r="F16" s="66" t="s">
        <v>47</v>
      </c>
    </row>
    <row r="17" spans="1:6" ht="28">
      <c r="A17" s="67" t="s">
        <v>48</v>
      </c>
      <c r="B17" s="66" t="s">
        <v>221</v>
      </c>
      <c r="C17" s="66" t="s">
        <v>42</v>
      </c>
      <c r="D17" s="66" t="s">
        <v>216</v>
      </c>
      <c r="E17" s="66" t="s">
        <v>217</v>
      </c>
      <c r="F17" s="66" t="s">
        <v>222</v>
      </c>
    </row>
    <row r="18" spans="1:6">
      <c r="A18" s="67" t="s">
        <v>223</v>
      </c>
      <c r="B18" s="66" t="s">
        <v>224</v>
      </c>
      <c r="C18" s="66" t="s">
        <v>42</v>
      </c>
      <c r="D18" s="66" t="s">
        <v>216</v>
      </c>
      <c r="E18" s="66" t="s">
        <v>73</v>
      </c>
      <c r="F18" s="66" t="s">
        <v>225</v>
      </c>
    </row>
    <row r="19" spans="1:6" ht="19" customHeight="1">
      <c r="A19" s="120" t="s">
        <v>106</v>
      </c>
      <c r="B19" s="120"/>
      <c r="C19" s="120"/>
      <c r="D19" s="120"/>
      <c r="E19" s="120"/>
      <c r="F19" s="120"/>
    </row>
    <row r="20" spans="1:6">
      <c r="A20" s="67" t="s">
        <v>109</v>
      </c>
      <c r="B20" s="66" t="s">
        <v>226</v>
      </c>
      <c r="C20" s="66" t="s">
        <v>42</v>
      </c>
      <c r="D20" s="66" t="s">
        <v>227</v>
      </c>
      <c r="E20" s="66" t="s">
        <v>228</v>
      </c>
      <c r="F20" s="66" t="s">
        <v>229</v>
      </c>
    </row>
    <row r="21" spans="1:6">
      <c r="A21" s="67" t="s">
        <v>111</v>
      </c>
      <c r="B21" s="66" t="s">
        <v>230</v>
      </c>
      <c r="C21" s="66" t="s">
        <v>42</v>
      </c>
      <c r="D21" s="66" t="s">
        <v>227</v>
      </c>
      <c r="E21" s="66" t="s">
        <v>228</v>
      </c>
      <c r="F21" s="66" t="s">
        <v>231</v>
      </c>
    </row>
    <row r="22" spans="1:6" ht="28">
      <c r="A22" s="67" t="s">
        <v>112</v>
      </c>
      <c r="B22" s="66" t="s">
        <v>232</v>
      </c>
      <c r="C22" s="66" t="s">
        <v>42</v>
      </c>
      <c r="D22" s="66" t="s">
        <v>227</v>
      </c>
      <c r="E22" s="66" t="s">
        <v>228</v>
      </c>
      <c r="F22" s="66" t="s">
        <v>233</v>
      </c>
    </row>
    <row r="23" spans="1:6">
      <c r="A23" s="67" t="s">
        <v>110</v>
      </c>
      <c r="B23" s="66" t="s">
        <v>234</v>
      </c>
      <c r="C23" s="66" t="s">
        <v>42</v>
      </c>
      <c r="D23" s="66" t="s">
        <v>43</v>
      </c>
      <c r="E23" s="66" t="s">
        <v>235</v>
      </c>
      <c r="F23" s="66" t="s">
        <v>236</v>
      </c>
    </row>
    <row r="24" spans="1:6" ht="28">
      <c r="A24" s="67" t="s">
        <v>116</v>
      </c>
      <c r="B24" s="66" t="s">
        <v>237</v>
      </c>
      <c r="C24" s="66" t="s">
        <v>42</v>
      </c>
      <c r="D24" s="66" t="s">
        <v>117</v>
      </c>
      <c r="E24" s="66" t="s">
        <v>238</v>
      </c>
      <c r="F24" s="66" t="s">
        <v>239</v>
      </c>
    </row>
    <row r="25" spans="1:6" ht="28">
      <c r="A25" s="67" t="s">
        <v>113</v>
      </c>
      <c r="B25" s="66" t="s">
        <v>240</v>
      </c>
      <c r="C25" s="66" t="s">
        <v>114</v>
      </c>
      <c r="D25" s="66" t="s">
        <v>227</v>
      </c>
      <c r="E25" s="66" t="s">
        <v>115</v>
      </c>
      <c r="F25" s="66" t="s">
        <v>241</v>
      </c>
    </row>
    <row r="26" spans="1:6" ht="19" customHeight="1">
      <c r="A26" s="120" t="s">
        <v>198</v>
      </c>
      <c r="B26" s="120"/>
      <c r="C26" s="120"/>
      <c r="D26" s="120"/>
      <c r="E26" s="120"/>
      <c r="F26" s="120"/>
    </row>
    <row r="27" spans="1:6" ht="28">
      <c r="A27" s="67" t="s">
        <v>15</v>
      </c>
      <c r="B27" s="66" t="s">
        <v>242</v>
      </c>
      <c r="C27" s="66" t="s">
        <v>16</v>
      </c>
      <c r="D27" s="66" t="s">
        <v>243</v>
      </c>
      <c r="E27" s="66" t="s">
        <v>17</v>
      </c>
      <c r="F27" s="66" t="s">
        <v>244</v>
      </c>
    </row>
    <row r="28" spans="1:6" ht="28">
      <c r="A28" s="67" t="s">
        <v>139</v>
      </c>
      <c r="B28" s="66" t="s">
        <v>245</v>
      </c>
      <c r="C28" s="66" t="s">
        <v>140</v>
      </c>
      <c r="D28" s="66" t="s">
        <v>141</v>
      </c>
      <c r="E28" s="66" t="s">
        <v>246</v>
      </c>
      <c r="F28" s="66" t="s">
        <v>247</v>
      </c>
    </row>
    <row r="29" spans="1:6" ht="28">
      <c r="A29" s="67" t="s">
        <v>248</v>
      </c>
      <c r="B29" s="66" t="s">
        <v>249</v>
      </c>
      <c r="C29" s="66" t="s">
        <v>250</v>
      </c>
      <c r="D29" s="66" t="s">
        <v>251</v>
      </c>
      <c r="E29" s="66" t="s">
        <v>252</v>
      </c>
      <c r="F29" s="66" t="s">
        <v>253</v>
      </c>
    </row>
    <row r="30" spans="1:6" ht="28">
      <c r="A30" s="67" t="s">
        <v>254</v>
      </c>
      <c r="B30" s="66" t="s">
        <v>255</v>
      </c>
      <c r="C30" s="66" t="s">
        <v>256</v>
      </c>
      <c r="D30" s="66" t="s">
        <v>257</v>
      </c>
      <c r="E30" s="66" t="s">
        <v>258</v>
      </c>
      <c r="F30" s="66" t="s">
        <v>259</v>
      </c>
    </row>
    <row r="31" spans="1:6" ht="8" customHeight="1">
      <c r="A31" s="67"/>
      <c r="B31" s="66"/>
      <c r="C31" s="66"/>
      <c r="D31" s="66"/>
      <c r="E31" s="66"/>
      <c r="F31" s="66"/>
    </row>
    <row r="32" spans="1:6" ht="19" customHeight="1">
      <c r="A32" s="120" t="s">
        <v>296</v>
      </c>
      <c r="B32" s="120"/>
      <c r="C32" s="120"/>
      <c r="D32" s="120"/>
      <c r="E32" s="120"/>
      <c r="F32" s="120"/>
    </row>
    <row r="33" spans="1:6">
      <c r="A33" s="67" t="s">
        <v>278</v>
      </c>
      <c r="B33" s="66" t="s">
        <v>297</v>
      </c>
      <c r="C33" s="66" t="s">
        <v>42</v>
      </c>
      <c r="D33" s="66" t="s">
        <v>298</v>
      </c>
      <c r="E33" s="66" t="s">
        <v>299</v>
      </c>
      <c r="F33" s="66" t="s">
        <v>300</v>
      </c>
    </row>
    <row r="34" spans="1:6">
      <c r="A34" s="67" t="s">
        <v>301</v>
      </c>
      <c r="B34" s="66" t="s">
        <v>302</v>
      </c>
      <c r="C34" s="66" t="s">
        <v>42</v>
      </c>
      <c r="D34" s="66" t="s">
        <v>298</v>
      </c>
      <c r="E34" s="66" t="s">
        <v>303</v>
      </c>
      <c r="F34" s="66" t="s">
        <v>304</v>
      </c>
    </row>
    <row r="35" spans="1:6">
      <c r="A35" s="67" t="s">
        <v>305</v>
      </c>
      <c r="B35" s="66" t="s">
        <v>306</v>
      </c>
      <c r="C35" s="66" t="s">
        <v>42</v>
      </c>
      <c r="D35" s="66" t="s">
        <v>298</v>
      </c>
      <c r="E35" s="66" t="s">
        <v>303</v>
      </c>
      <c r="F35" s="66" t="s">
        <v>307</v>
      </c>
    </row>
    <row r="36" spans="1:6" ht="28">
      <c r="A36" s="67" t="s">
        <v>279</v>
      </c>
      <c r="B36" s="66" t="s">
        <v>308</v>
      </c>
      <c r="C36" s="66" t="s">
        <v>42</v>
      </c>
      <c r="D36" s="66" t="s">
        <v>298</v>
      </c>
      <c r="E36" s="66" t="s">
        <v>309</v>
      </c>
      <c r="F36" s="66" t="s">
        <v>310</v>
      </c>
    </row>
    <row r="37" spans="1:6">
      <c r="A37" s="67" t="s">
        <v>280</v>
      </c>
      <c r="B37" s="66" t="s">
        <v>311</v>
      </c>
      <c r="C37" s="66" t="s">
        <v>42</v>
      </c>
      <c r="D37" s="66" t="s">
        <v>209</v>
      </c>
      <c r="E37" s="66" t="s">
        <v>312</v>
      </c>
      <c r="F37" s="66" t="s">
        <v>313</v>
      </c>
    </row>
    <row r="38" spans="1:6" ht="8" customHeight="1">
      <c r="A38" s="67"/>
      <c r="B38" s="66"/>
      <c r="C38" s="66"/>
      <c r="D38" s="66"/>
      <c r="E38" s="66"/>
      <c r="F38" s="66"/>
    </row>
    <row r="39" spans="1:6" ht="19" customHeight="1">
      <c r="A39" s="120" t="s">
        <v>360</v>
      </c>
      <c r="B39" s="120"/>
      <c r="C39" s="120"/>
      <c r="D39" s="120"/>
      <c r="E39" s="120"/>
      <c r="F39" s="120"/>
    </row>
    <row r="40" spans="1:6" ht="28">
      <c r="A40" s="67" t="s">
        <v>340</v>
      </c>
      <c r="B40" s="66" t="s">
        <v>341</v>
      </c>
      <c r="C40" s="66" t="s">
        <v>342</v>
      </c>
      <c r="D40" s="66" t="s">
        <v>18</v>
      </c>
      <c r="E40" s="66" t="s">
        <v>343</v>
      </c>
      <c r="F40" s="66" t="s">
        <v>344</v>
      </c>
    </row>
    <row r="41" spans="1:6" ht="28">
      <c r="A41" s="67" t="s">
        <v>345</v>
      </c>
      <c r="B41" s="66" t="s">
        <v>346</v>
      </c>
      <c r="C41" s="66" t="s">
        <v>347</v>
      </c>
      <c r="D41" s="66" t="s">
        <v>348</v>
      </c>
      <c r="E41" s="66" t="s">
        <v>343</v>
      </c>
      <c r="F41" s="66" t="s">
        <v>349</v>
      </c>
    </row>
    <row r="42" spans="1:6" ht="28">
      <c r="A42" s="67" t="s">
        <v>350</v>
      </c>
      <c r="B42" s="66" t="s">
        <v>351</v>
      </c>
      <c r="C42" s="66" t="s">
        <v>42</v>
      </c>
      <c r="D42" s="66" t="s">
        <v>352</v>
      </c>
      <c r="E42" s="66" t="s">
        <v>357</v>
      </c>
      <c r="F42" s="66" t="s">
        <v>358</v>
      </c>
    </row>
    <row r="43" spans="1:6" ht="28">
      <c r="A43" s="67" t="s">
        <v>353</v>
      </c>
      <c r="B43" s="66" t="s">
        <v>354</v>
      </c>
      <c r="C43" s="66" t="s">
        <v>42</v>
      </c>
      <c r="D43" s="66" t="s">
        <v>209</v>
      </c>
      <c r="E43" s="66" t="s">
        <v>357</v>
      </c>
      <c r="F43" s="66" t="s">
        <v>359</v>
      </c>
    </row>
    <row r="44" spans="1:6" ht="8" customHeight="1">
      <c r="A44" s="67"/>
      <c r="B44" s="66"/>
      <c r="C44" s="66"/>
      <c r="D44" s="66"/>
      <c r="E44" s="66"/>
      <c r="F44" s="66"/>
    </row>
    <row r="45" spans="1:6" ht="19" customHeight="1">
      <c r="A45" s="120" t="s">
        <v>361</v>
      </c>
      <c r="B45" s="120"/>
      <c r="C45" s="120"/>
      <c r="D45" s="120"/>
      <c r="E45" s="120"/>
      <c r="F45" s="120"/>
    </row>
    <row r="46" spans="1:6" ht="42">
      <c r="A46" s="67" t="s">
        <v>362</v>
      </c>
      <c r="B46" s="66" t="s">
        <v>363</v>
      </c>
      <c r="C46" s="66" t="s">
        <v>364</v>
      </c>
      <c r="D46" s="66" t="s">
        <v>463</v>
      </c>
      <c r="E46" s="66" t="s">
        <v>365</v>
      </c>
      <c r="F46" s="66" t="s">
        <v>464</v>
      </c>
    </row>
    <row r="47" spans="1:6" ht="28">
      <c r="A47" s="67" t="s">
        <v>366</v>
      </c>
      <c r="B47" s="66" t="s">
        <v>465</v>
      </c>
      <c r="C47" s="66" t="s">
        <v>367</v>
      </c>
      <c r="D47" s="66" t="s">
        <v>466</v>
      </c>
      <c r="E47" s="66" t="s">
        <v>368</v>
      </c>
      <c r="F47" s="66" t="s">
        <v>369</v>
      </c>
    </row>
    <row r="48" spans="1:6" ht="28">
      <c r="A48" s="67" t="s">
        <v>370</v>
      </c>
      <c r="B48" s="66" t="s">
        <v>371</v>
      </c>
      <c r="C48" s="66" t="s">
        <v>372</v>
      </c>
      <c r="D48" s="66" t="s">
        <v>373</v>
      </c>
      <c r="E48" s="66" t="s">
        <v>374</v>
      </c>
      <c r="F48" s="66" t="s">
        <v>375</v>
      </c>
    </row>
    <row r="49" spans="1:6" ht="8" customHeight="1">
      <c r="A49" s="67"/>
      <c r="B49" s="66"/>
      <c r="C49" s="66"/>
      <c r="D49" s="66"/>
      <c r="E49" s="66"/>
      <c r="F49" s="66"/>
    </row>
    <row r="50" spans="1:6" ht="19" customHeight="1">
      <c r="A50" s="120" t="s">
        <v>388</v>
      </c>
      <c r="B50" s="120"/>
      <c r="C50" s="120"/>
      <c r="D50" s="120"/>
      <c r="E50" s="120"/>
      <c r="F50" s="120"/>
    </row>
    <row r="51" spans="1:6" ht="28">
      <c r="A51" s="67" t="s">
        <v>389</v>
      </c>
      <c r="B51" s="66" t="s">
        <v>390</v>
      </c>
      <c r="C51" s="66" t="s">
        <v>391</v>
      </c>
      <c r="D51" s="66" t="s">
        <v>392</v>
      </c>
      <c r="E51" s="66" t="s">
        <v>393</v>
      </c>
      <c r="F51" s="66" t="s">
        <v>394</v>
      </c>
    </row>
    <row r="52" spans="1:6" ht="28">
      <c r="A52" s="67" t="s">
        <v>395</v>
      </c>
      <c r="B52" s="66" t="s">
        <v>396</v>
      </c>
      <c r="C52" s="66" t="s">
        <v>397</v>
      </c>
      <c r="D52" s="66" t="s">
        <v>392</v>
      </c>
      <c r="E52" s="66" t="s">
        <v>398</v>
      </c>
      <c r="F52" s="66" t="s">
        <v>399</v>
      </c>
    </row>
    <row r="53" spans="1:6" ht="28">
      <c r="A53" s="67" t="s">
        <v>400</v>
      </c>
      <c r="B53" s="66" t="s">
        <v>401</v>
      </c>
      <c r="C53" s="66" t="s">
        <v>42</v>
      </c>
      <c r="D53" s="66" t="s">
        <v>402</v>
      </c>
      <c r="E53" s="66" t="s">
        <v>403</v>
      </c>
      <c r="F53" s="66" t="s">
        <v>404</v>
      </c>
    </row>
    <row r="54" spans="1:6" ht="8" customHeight="1">
      <c r="A54" s="67"/>
      <c r="B54" s="66"/>
      <c r="C54" s="66"/>
      <c r="D54" s="66"/>
      <c r="E54" s="66"/>
      <c r="F54" s="66"/>
    </row>
    <row r="55" spans="1:6" ht="19" customHeight="1">
      <c r="A55" s="120" t="s">
        <v>467</v>
      </c>
      <c r="B55" s="120"/>
      <c r="C55" s="120"/>
      <c r="D55" s="120"/>
      <c r="E55" s="120"/>
      <c r="F55" s="120"/>
    </row>
    <row r="56" spans="1:6" ht="28">
      <c r="A56" s="67" t="s">
        <v>468</v>
      </c>
      <c r="B56" s="66" t="s">
        <v>469</v>
      </c>
      <c r="C56" s="66" t="s">
        <v>42</v>
      </c>
      <c r="D56" s="66" t="s">
        <v>470</v>
      </c>
      <c r="E56" s="66" t="s">
        <v>362</v>
      </c>
      <c r="F56" s="66" t="s">
        <v>471</v>
      </c>
    </row>
    <row r="57" spans="1:6" ht="28">
      <c r="A57" s="67" t="s">
        <v>472</v>
      </c>
      <c r="B57" s="66" t="s">
        <v>473</v>
      </c>
      <c r="C57" s="66" t="s">
        <v>474</v>
      </c>
      <c r="D57" s="66" t="s">
        <v>209</v>
      </c>
      <c r="E57" s="66" t="s">
        <v>475</v>
      </c>
      <c r="F57" s="66" t="s">
        <v>476</v>
      </c>
    </row>
    <row r="58" spans="1:6" ht="42">
      <c r="A58" s="67" t="s">
        <v>477</v>
      </c>
      <c r="B58" s="66" t="s">
        <v>478</v>
      </c>
      <c r="C58" s="66" t="s">
        <v>479</v>
      </c>
      <c r="D58" s="66" t="s">
        <v>257</v>
      </c>
      <c r="E58" s="66" t="s">
        <v>480</v>
      </c>
      <c r="F58" s="66" t="s">
        <v>481</v>
      </c>
    </row>
    <row r="59" spans="1:6" ht="8" customHeight="1">
      <c r="A59" s="67"/>
      <c r="B59" s="66"/>
      <c r="C59" s="66"/>
      <c r="D59" s="66"/>
      <c r="E59" s="66"/>
      <c r="F59" s="66"/>
    </row>
    <row r="60" spans="1:6" ht="19" customHeight="1">
      <c r="A60" s="120" t="s">
        <v>499</v>
      </c>
      <c r="B60" s="120"/>
      <c r="C60" s="120"/>
      <c r="D60" s="120"/>
      <c r="E60" s="120"/>
      <c r="F60" s="120"/>
    </row>
    <row r="61" spans="1:6" ht="28">
      <c r="A61" s="67" t="s">
        <v>500</v>
      </c>
      <c r="B61" s="66" t="s">
        <v>501</v>
      </c>
      <c r="C61" s="66" t="s">
        <v>502</v>
      </c>
      <c r="D61" s="66" t="s">
        <v>503</v>
      </c>
      <c r="E61" s="66" t="s">
        <v>504</v>
      </c>
      <c r="F61" s="66" t="s">
        <v>505</v>
      </c>
    </row>
    <row r="62" spans="1:6" ht="28">
      <c r="A62" s="67" t="s">
        <v>506</v>
      </c>
      <c r="B62" s="66" t="s">
        <v>507</v>
      </c>
      <c r="C62" s="66" t="s">
        <v>508</v>
      </c>
      <c r="D62" s="66" t="s">
        <v>509</v>
      </c>
      <c r="E62" s="66" t="s">
        <v>504</v>
      </c>
      <c r="F62" s="66" t="s">
        <v>510</v>
      </c>
    </row>
    <row r="63" spans="1:6" ht="28">
      <c r="A63" s="67" t="s">
        <v>511</v>
      </c>
      <c r="B63" s="66" t="s">
        <v>512</v>
      </c>
      <c r="C63" s="66" t="s">
        <v>513</v>
      </c>
      <c r="D63" s="66" t="s">
        <v>570</v>
      </c>
      <c r="E63" s="66" t="s">
        <v>514</v>
      </c>
      <c r="F63" s="66" t="s">
        <v>515</v>
      </c>
    </row>
    <row r="64" spans="1:6" ht="28">
      <c r="A64" s="67" t="s">
        <v>516</v>
      </c>
      <c r="B64" s="66" t="s">
        <v>517</v>
      </c>
      <c r="C64" s="66" t="s">
        <v>518</v>
      </c>
      <c r="D64" s="66" t="s">
        <v>257</v>
      </c>
      <c r="E64" s="66" t="s">
        <v>480</v>
      </c>
      <c r="F64" s="66" t="s">
        <v>519</v>
      </c>
    </row>
    <row r="65" spans="1:6" ht="8" customHeight="1">
      <c r="A65" s="67"/>
      <c r="B65" s="66"/>
      <c r="C65" s="66"/>
      <c r="D65" s="66"/>
      <c r="E65" s="66"/>
      <c r="F65" s="66"/>
    </row>
    <row r="66" spans="1:6" ht="19" customHeight="1">
      <c r="A66" s="120" t="s">
        <v>529</v>
      </c>
      <c r="B66" s="120"/>
      <c r="C66" s="120"/>
      <c r="D66" s="120"/>
      <c r="E66" s="120"/>
      <c r="F66" s="120"/>
    </row>
    <row r="67" spans="1:6" ht="42">
      <c r="A67" s="67" t="s">
        <v>530</v>
      </c>
      <c r="B67" s="66" t="s">
        <v>531</v>
      </c>
      <c r="C67" s="66" t="s">
        <v>14</v>
      </c>
      <c r="D67" s="66" t="s">
        <v>532</v>
      </c>
      <c r="E67" s="66" t="s">
        <v>533</v>
      </c>
      <c r="F67" s="66" t="s">
        <v>534</v>
      </c>
    </row>
    <row r="68" spans="1:6" ht="42">
      <c r="A68" s="67" t="s">
        <v>535</v>
      </c>
      <c r="B68" s="66" t="s">
        <v>536</v>
      </c>
      <c r="C68" s="66" t="s">
        <v>14</v>
      </c>
      <c r="D68" s="66" t="s">
        <v>537</v>
      </c>
      <c r="E68" s="66" t="s">
        <v>538</v>
      </c>
      <c r="F68" s="66" t="s">
        <v>539</v>
      </c>
    </row>
    <row r="69" spans="1:6" ht="28">
      <c r="A69" s="67" t="s">
        <v>540</v>
      </c>
      <c r="B69" s="66" t="s">
        <v>541</v>
      </c>
      <c r="C69" s="66" t="s">
        <v>14</v>
      </c>
      <c r="D69" s="66" t="s">
        <v>542</v>
      </c>
      <c r="E69" s="66" t="s">
        <v>543</v>
      </c>
      <c r="F69" s="66" t="s">
        <v>544</v>
      </c>
    </row>
    <row r="70" spans="1:6" ht="28">
      <c r="A70" s="67" t="s">
        <v>545</v>
      </c>
      <c r="B70" s="66" t="s">
        <v>546</v>
      </c>
      <c r="C70" s="66" t="s">
        <v>547</v>
      </c>
      <c r="D70" s="66" t="s">
        <v>257</v>
      </c>
      <c r="E70" s="66" t="s">
        <v>480</v>
      </c>
      <c r="F70" s="66" t="s">
        <v>548</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48"/>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5" t="s">
        <v>260</v>
      </c>
      <c r="B1" s="125"/>
      <c r="C1" s="125"/>
      <c r="D1" s="125"/>
      <c r="E1" s="125"/>
    </row>
    <row r="2" spans="1:5" ht="22" customHeight="1">
      <c r="A2" s="126" t="s">
        <v>261</v>
      </c>
      <c r="B2" s="126"/>
      <c r="C2" s="126"/>
      <c r="D2" s="126"/>
      <c r="E2" s="126"/>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483</v>
      </c>
      <c r="D18" s="40" t="str" cm="1">
        <f t="array" ref="D18">SDK_PointingRowHint(_Engine!$B$27:$J$35)</f>
        <v>Pointing row · Box 1 confines digit 7 to row 2 · Remove 7 from R2C7, R2C9.</v>
      </c>
      <c r="E18" s="47" t="str">
        <f t="shared" si="0"/>
        <v>PASS</v>
      </c>
    </row>
    <row r="19" spans="1:5" ht="30" customHeight="1">
      <c r="A19" s="38" t="s">
        <v>91</v>
      </c>
      <c r="B19" s="38" t="s">
        <v>92</v>
      </c>
      <c r="C19" s="38" t="s">
        <v>93</v>
      </c>
      <c r="D19" s="38" t="str" cm="1">
        <f t="array" ref="D19">SDK_HintClaiming(_Engine!$B$27:$J$35)</f>
        <v>Claiming row · Row 2 confines digit 3 to box 3 · Remove 3 from R3C7.</v>
      </c>
      <c r="E19" s="46" t="str">
        <f t="shared" si="0"/>
        <v>PASS</v>
      </c>
    </row>
    <row r="20" spans="1:5" ht="30" customHeight="1">
      <c r="A20" s="40" t="s">
        <v>94</v>
      </c>
      <c r="B20" s="40" t="s">
        <v>95</v>
      </c>
      <c r="C20" s="40" t="s">
        <v>96</v>
      </c>
      <c r="D20" s="40" t="str" cm="1">
        <f t="array" ref="D20">SDK_HintNakedPairRowCandidates(_Engine!$L$90:$T$98)</f>
        <v>Naked pair in row · R1C1 and R1C2 contain only 1/2 · Remove 1 and 2 from R1C3.</v>
      </c>
      <c r="E20" s="47" t="str">
        <f t="shared" si="0"/>
        <v>PASS</v>
      </c>
    </row>
    <row r="21" spans="1:5" ht="30" customHeight="1">
      <c r="A21" s="38" t="s">
        <v>97</v>
      </c>
      <c r="B21" s="38" t="s">
        <v>98</v>
      </c>
      <c r="C21" s="38" t="s">
        <v>99</v>
      </c>
      <c r="D21" s="38" t="str" cm="1">
        <f t="array" ref="D21">INDEX(SDK_CoachTraceV2(_Engine!$B$27:$J$35),1)</f>
        <v>Technique — Naked single | Pattern — R5C5 = 5</v>
      </c>
      <c r="E21" s="46" t="str">
        <f t="shared" si="0"/>
        <v>PASS</v>
      </c>
    </row>
    <row r="22" spans="1:5" ht="30" customHeight="1">
      <c r="A22" s="40" t="s">
        <v>100</v>
      </c>
      <c r="B22" s="40" t="s">
        <v>101</v>
      </c>
      <c r="C22" s="40" t="s">
        <v>102</v>
      </c>
      <c r="D22" s="40" t="str" cm="1">
        <f t="array" ref="D22">INDEX(SDK_CoachTraceV2(_Engine!$B$27:$J$35),2)</f>
        <v>Action — This is the only legal candidate remaining in the square.</v>
      </c>
      <c r="E22" s="47" t="str">
        <f t="shared" si="0"/>
        <v>PASS</v>
      </c>
    </row>
    <row r="23" spans="1:5" ht="30" customHeight="1">
      <c r="A23" s="38" t="s">
        <v>103</v>
      </c>
      <c r="B23" s="38" t="s">
        <v>104</v>
      </c>
      <c r="C23" s="38" t="s">
        <v>105</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122</v>
      </c>
      <c r="B25" s="44"/>
      <c r="C25" s="44"/>
      <c r="D25" s="44"/>
      <c r="E25" s="49"/>
    </row>
    <row r="26" spans="1:5" ht="30" customHeight="1">
      <c r="A26" s="36" t="s">
        <v>123</v>
      </c>
      <c r="B26" s="36" t="s">
        <v>124</v>
      </c>
      <c r="C26" s="36">
        <v>30</v>
      </c>
      <c r="D26" s="36">
        <f>COUNTA(_Engine!$B$27:$J$35)</f>
        <v>30</v>
      </c>
      <c r="E26" s="52" t="str">
        <f t="shared" ref="E26:E33" si="1">IF(D26&amp;""=C26&amp;"","PASS","FAIL")</f>
        <v>PASS</v>
      </c>
    </row>
    <row r="27" spans="1:5" ht="30" customHeight="1">
      <c r="A27" s="38" t="s">
        <v>125</v>
      </c>
      <c r="B27" s="38" t="s">
        <v>126</v>
      </c>
      <c r="C27" s="38">
        <v>36</v>
      </c>
      <c r="D27" s="38">
        <f>COUNTA('_Engine Medium'!$B$27:$J$35)</f>
        <v>36</v>
      </c>
      <c r="E27" s="46" t="str">
        <f t="shared" si="1"/>
        <v>PASS</v>
      </c>
    </row>
    <row r="28" spans="1:5" ht="30" customHeight="1">
      <c r="A28" s="40" t="s">
        <v>127</v>
      </c>
      <c r="B28" s="40" t="s">
        <v>128</v>
      </c>
      <c r="C28" s="40">
        <v>28</v>
      </c>
      <c r="D28" s="40">
        <f>COUNTA('_Engine Hard'!$B$27:$J$35)</f>
        <v>28</v>
      </c>
      <c r="E28" s="47" t="str">
        <f t="shared" si="1"/>
        <v>PASS</v>
      </c>
    </row>
    <row r="29" spans="1:5" ht="30" customHeight="1">
      <c r="A29" s="38" t="s">
        <v>129</v>
      </c>
      <c r="B29" s="38" t="s">
        <v>130</v>
      </c>
      <c r="C29" s="38">
        <v>27</v>
      </c>
      <c r="D29" s="38">
        <f>COUNTA('_Engine Expert'!$B$27:$J$35)</f>
        <v>27</v>
      </c>
      <c r="E29" s="46" t="str">
        <f t="shared" si="1"/>
        <v>PASS</v>
      </c>
    </row>
    <row r="30" spans="1:5" ht="30" customHeight="1">
      <c r="A30" s="40" t="s">
        <v>131</v>
      </c>
      <c r="B30" s="40" t="s">
        <v>132</v>
      </c>
      <c r="C30" s="40">
        <v>23</v>
      </c>
      <c r="D30" s="40">
        <f>COUNTA('_Engine Master'!$B$27:$J$35)</f>
        <v>23</v>
      </c>
      <c r="E30" s="47" t="str">
        <f t="shared" si="1"/>
        <v>PASS</v>
      </c>
    </row>
    <row r="31" spans="1:5" ht="30" customHeight="1">
      <c r="A31" s="38" t="s">
        <v>133</v>
      </c>
      <c r="B31" s="38" t="s">
        <v>134</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135</v>
      </c>
      <c r="B32" s="40" t="s">
        <v>136</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137</v>
      </c>
      <c r="B33" s="38" t="s">
        <v>138</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142</v>
      </c>
      <c r="B35" s="44"/>
      <c r="C35" s="44"/>
      <c r="D35" s="44"/>
      <c r="E35" s="49"/>
    </row>
    <row r="36" spans="1:15" ht="30" customHeight="1">
      <c r="A36" s="36" t="s">
        <v>143</v>
      </c>
      <c r="B36" s="36" t="s">
        <v>144</v>
      </c>
      <c r="C36" s="36" t="s">
        <v>145</v>
      </c>
      <c r="D36" s="36" t="str" cm="1">
        <f t="array" ref="D36">SDK_CoordRole("Naked pair in row · R1C1 and R1C2 contain only 1/2 · Remove 1 and 2 from R1C3.","R1C1")</f>
        <v>SOURCE</v>
      </c>
      <c r="E36" s="52" t="str">
        <f>IF(D36=C36,"PASS","FAIL")</f>
        <v>PASS</v>
      </c>
    </row>
    <row r="37" spans="1:15" ht="30" customHeight="1">
      <c r="A37" s="37" t="s">
        <v>146</v>
      </c>
      <c r="B37" s="37" t="s">
        <v>147</v>
      </c>
      <c r="C37" s="37" t="s">
        <v>148</v>
      </c>
      <c r="D37" s="37" t="str" cm="1">
        <f t="array" ref="D37">SDK_CoordRole("Pointing row · Box 1 confines digit 1 to row 1 · Remove 1 from R1C7, R1C8.","R1C7")</f>
        <v>TARGET</v>
      </c>
      <c r="E37" s="48" t="str">
        <f>IF(D37=C37,"PASS","FAIL")</f>
        <v>PASS</v>
      </c>
    </row>
    <row r="39" spans="1:15" ht="17" thickBot="1">
      <c r="A39" s="44" t="s">
        <v>262</v>
      </c>
      <c r="B39" s="44"/>
      <c r="C39" s="44"/>
      <c r="D39" s="44"/>
      <c r="E39" s="49"/>
      <c r="G39" s="53" t="s">
        <v>277</v>
      </c>
      <c r="H39" s="53"/>
      <c r="I39" s="53"/>
      <c r="J39" s="53"/>
      <c r="K39" s="53"/>
      <c r="L39" s="53"/>
      <c r="M39" s="53"/>
      <c r="N39" s="53"/>
      <c r="O39" s="53"/>
    </row>
    <row r="40" spans="1:15" ht="17" thickBot="1">
      <c r="A40" s="36" t="s">
        <v>263</v>
      </c>
      <c r="B40" s="36" t="s">
        <v>264</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265</v>
      </c>
      <c r="B41" s="36" t="s">
        <v>266</v>
      </c>
      <c r="C41" s="36">
        <v>24</v>
      </c>
      <c r="D41" s="36" t="str">
        <f>_Engine!G17</f>
        <v>24</v>
      </c>
      <c r="E41" s="52" t="str">
        <f t="shared" si="2"/>
        <v>PASS</v>
      </c>
      <c r="G41" s="53">
        <v>6</v>
      </c>
      <c r="H41" s="53"/>
      <c r="I41" s="53"/>
      <c r="J41" s="53">
        <v>1</v>
      </c>
      <c r="K41" s="53">
        <v>9</v>
      </c>
      <c r="L41" s="53">
        <v>5</v>
      </c>
      <c r="M41" s="53"/>
      <c r="N41" s="53"/>
      <c r="O41" s="53"/>
    </row>
    <row r="42" spans="1:15" ht="17" thickBot="1">
      <c r="A42" s="36" t="s">
        <v>267</v>
      </c>
      <c r="B42" s="36" t="s">
        <v>268</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269</v>
      </c>
      <c r="B43" s="36" t="s">
        <v>270</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271</v>
      </c>
      <c r="B44" s="36" t="s">
        <v>272</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273</v>
      </c>
      <c r="B45" s="36" t="s">
        <v>274</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275</v>
      </c>
      <c r="B46" s="36" t="s">
        <v>276</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283</v>
      </c>
      <c r="B48" s="44"/>
      <c r="C48" s="44"/>
      <c r="D48" s="44"/>
      <c r="E48" s="49"/>
      <c r="G48" s="53"/>
      <c r="H48" s="53"/>
      <c r="I48" s="53">
        <v>2</v>
      </c>
      <c r="J48" s="53">
        <v>6</v>
      </c>
      <c r="K48" s="53">
        <v>8</v>
      </c>
      <c r="L48" s="53"/>
      <c r="M48" s="53"/>
      <c r="N48" s="53">
        <v>7</v>
      </c>
      <c r="O48" s="53">
        <v>9</v>
      </c>
    </row>
    <row r="49" spans="1:16" ht="17" thickBot="1">
      <c r="A49" s="36" t="s">
        <v>284</v>
      </c>
      <c r="B49" s="36" t="s">
        <v>285</v>
      </c>
      <c r="C49" s="36" t="b">
        <v>0</v>
      </c>
      <c r="D49" s="36" t="b" cm="1">
        <f t="array" ref="D49">SDK_HasDeadEnd(_Engine!$B$27:$J$35)</f>
        <v>0</v>
      </c>
      <c r="E49" s="52" t="str">
        <f>IF(D49&amp;""=C49&amp;"","PASS","FAIL")</f>
        <v>PASS</v>
      </c>
    </row>
    <row r="50" spans="1:16" ht="17" thickBot="1">
      <c r="A50" s="36" t="s">
        <v>286</v>
      </c>
      <c r="B50" s="36" t="s">
        <v>287</v>
      </c>
      <c r="C50" s="36" t="b">
        <v>1</v>
      </c>
      <c r="D50" s="36" t="b" cm="1">
        <f t="array" ref="D50">SDK_HasDeadEnd($G$40:$O$48)</f>
        <v>1</v>
      </c>
      <c r="E50" s="52" t="str">
        <f>IF(D50&amp;""=C50&amp;"","PASS","FAIL")</f>
        <v>PASS</v>
      </c>
    </row>
    <row r="51" spans="1:16" ht="17" thickBot="1">
      <c r="A51" s="36" t="s">
        <v>288</v>
      </c>
      <c r="B51" s="36" t="s">
        <v>289</v>
      </c>
      <c r="C51" s="36" t="s">
        <v>290</v>
      </c>
      <c r="D51" s="36" t="str" cm="1">
        <f t="array" ref="D51">SDK_DeadEnd($G$40:$O$48)</f>
        <v>Dead end · R3C4 has no legal candidates.</v>
      </c>
      <c r="E51" s="52" t="str">
        <f>IF(D51&amp;""=C51&amp;"","PASS","FAIL")</f>
        <v>PASS</v>
      </c>
    </row>
    <row r="52" spans="1:16" ht="31" thickBot="1">
      <c r="A52" s="36" t="s">
        <v>291</v>
      </c>
      <c r="B52" s="36" t="s">
        <v>292</v>
      </c>
      <c r="C52" s="36" t="s">
        <v>293</v>
      </c>
      <c r="D52" s="36" t="str" cm="1">
        <f t="array" ref="D52">SDK_ForcedBox($G$40:$O$48)</f>
        <v>Dead end · Box 2 forces digit 4 into R3C5 and R3C6.</v>
      </c>
      <c r="E52" s="52" t="str">
        <f>IF(D52&amp;""=C52&amp;"","PASS","FAIL")</f>
        <v>PASS</v>
      </c>
    </row>
    <row r="53" spans="1:16">
      <c r="A53" s="36" t="s">
        <v>294</v>
      </c>
      <c r="B53" s="36" t="s">
        <v>295</v>
      </c>
      <c r="C53" s="36" t="b">
        <v>0</v>
      </c>
      <c r="D53" s="36" t="b">
        <f>_Engine!$B$99</f>
        <v>0</v>
      </c>
      <c r="E53" s="52" t="str">
        <f>IF(D53&amp;""=C53&amp;"","PASS","FAIL")</f>
        <v>PASS</v>
      </c>
    </row>
    <row r="54" spans="1:16">
      <c r="G54" t="s">
        <v>331</v>
      </c>
      <c r="P54" t="s">
        <v>356</v>
      </c>
    </row>
    <row r="55" spans="1:16" ht="31" thickBot="1">
      <c r="A55" s="44" t="s">
        <v>314</v>
      </c>
      <c r="B55" s="44"/>
      <c r="C55" s="44"/>
      <c r="D55" s="44"/>
      <c r="E55" s="49"/>
      <c r="G55">
        <v>5</v>
      </c>
      <c r="H55">
        <v>3</v>
      </c>
      <c r="J55">
        <v>6</v>
      </c>
      <c r="K55">
        <v>7</v>
      </c>
      <c r="L55">
        <v>8</v>
      </c>
      <c r="M55">
        <v>9</v>
      </c>
      <c r="N55">
        <v>1</v>
      </c>
      <c r="O55">
        <v>2</v>
      </c>
      <c r="P55" t="s">
        <v>40</v>
      </c>
    </row>
    <row r="56" spans="1:16" ht="17" thickBot="1">
      <c r="A56" s="36" t="s">
        <v>315</v>
      </c>
      <c r="B56" s="36" t="s">
        <v>316</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317</v>
      </c>
      <c r="B57" s="36" t="s">
        <v>318</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319</v>
      </c>
      <c r="B58" s="36" t="s">
        <v>320</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321</v>
      </c>
      <c r="B59" s="36" t="s">
        <v>322</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323</v>
      </c>
      <c r="B60" s="36" t="s">
        <v>324</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325</v>
      </c>
      <c r="B61" s="36" t="s">
        <v>326</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327</v>
      </c>
      <c r="B62" s="36" t="s">
        <v>328</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329</v>
      </c>
      <c r="B63" s="36" t="s">
        <v>330</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332</v>
      </c>
      <c r="B65" s="44"/>
      <c r="C65" s="44"/>
      <c r="D65" s="44"/>
      <c r="E65" s="49"/>
    </row>
    <row r="66" spans="1:15" ht="17" thickBot="1">
      <c r="A66" s="36" t="s">
        <v>333</v>
      </c>
      <c r="B66" s="36" t="s">
        <v>334</v>
      </c>
      <c r="C66" s="36">
        <v>23468</v>
      </c>
      <c r="D66" s="36" t="str" cm="1">
        <f t="array" ref="D66">SDK_Candidates('_Engine Hard'!$B$27:$J$35,1,1)</f>
        <v>23468</v>
      </c>
      <c r="E66" s="52" t="str">
        <f>IF(D66&amp;""=C66&amp;"","PASS","FAIL")</f>
        <v>PASS</v>
      </c>
    </row>
    <row r="67" spans="1:15" ht="17" thickBot="1">
      <c r="A67" s="36" t="s">
        <v>335</v>
      </c>
      <c r="B67" s="36" t="s">
        <v>336</v>
      </c>
      <c r="C67" s="36">
        <v>245789</v>
      </c>
      <c r="D67" s="36" t="str" cm="1">
        <f t="array" ref="D67">SDK_Candidates('_Engine Master'!$B$27:$J$35,7,4)</f>
        <v>245789</v>
      </c>
      <c r="E67" s="52" t="str">
        <f>IF(D67&amp;""=C67&amp;"","PASS","FAIL")</f>
        <v>PASS</v>
      </c>
    </row>
    <row r="68" spans="1:15">
      <c r="A68" s="36" t="s">
        <v>337</v>
      </c>
      <c r="B68" s="36" t="s">
        <v>338</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376</v>
      </c>
      <c r="B70" s="44"/>
      <c r="C70" s="44"/>
      <c r="D70" s="44"/>
      <c r="E70" s="49"/>
    </row>
    <row r="71" spans="1:15" ht="17" thickBot="1">
      <c r="A71" s="36" t="s">
        <v>377</v>
      </c>
      <c r="B71" s="36" t="s">
        <v>378</v>
      </c>
      <c r="C71" s="36" t="b">
        <v>1</v>
      </c>
      <c r="D71" s="36" t="b">
        <f>IF('01 Easy'!AS11="Verify",ISNUMBER(_xlfn.XMATCH(_Engine!B100,{"VIABLE","NO SOLUTION","CONFLICT","SEARCH ERROR"})),_Engine!B100="")</f>
        <v>1</v>
      </c>
      <c r="E71" s="52" t="str">
        <f>IF(D71=C71,"PASS","FAIL")</f>
        <v>PASS</v>
      </c>
    </row>
    <row r="72" spans="1:15" ht="17" thickBot="1">
      <c r="A72" s="36" t="s">
        <v>379</v>
      </c>
      <c r="B72" s="36" t="s">
        <v>380</v>
      </c>
      <c r="C72" s="36" t="b">
        <v>1</v>
      </c>
      <c r="D72" s="36" t="b">
        <f>IF('02 Medium'!AS11="Verify",ISNUMBER(_xlfn.XMATCH('_Engine Medium'!B100,{"VIABLE","NO SOLUTION","CONFLICT","SEARCH ERROR"})),'_Engine Medium'!B100="")</f>
        <v>1</v>
      </c>
      <c r="E72" s="52" t="str">
        <f>IF(D72=C72,"PASS","FAIL")</f>
        <v>PASS</v>
      </c>
    </row>
    <row r="73" spans="1:15" ht="17" thickBot="1">
      <c r="A73" s="36" t="s">
        <v>381</v>
      </c>
      <c r="B73" s="36" t="s">
        <v>382</v>
      </c>
      <c r="C73" s="36" t="b">
        <v>1</v>
      </c>
      <c r="D73" s="36" t="b">
        <f>IF('03 Hard'!AS11="Verify",ISNUMBER(_xlfn.XMATCH('_Engine Hard'!B100,{"VIABLE","NO SOLUTION","CONFLICT","SEARCH ERROR"})),'_Engine Hard'!B100="")</f>
        <v>1</v>
      </c>
      <c r="E73" s="52" t="str">
        <f>IF(D73=C73,"PASS","FAIL")</f>
        <v>PASS</v>
      </c>
    </row>
    <row r="74" spans="1:15" ht="17" thickBot="1">
      <c r="A74" s="36" t="s">
        <v>383</v>
      </c>
      <c r="B74" s="36" t="s">
        <v>384</v>
      </c>
      <c r="C74" s="36" t="b">
        <v>1</v>
      </c>
      <c r="D74" s="36" t="b">
        <f>IF('04 Expert'!AS11="Verify",ISNUMBER(_xlfn.XMATCH('_Engine Expert'!B100,{"VIABLE","NO SOLUTION","CONFLICT","SEARCH ERROR"})),'_Engine Expert'!B100="")</f>
        <v>1</v>
      </c>
      <c r="E74" s="52" t="str">
        <f>IF(D74=C74,"PASS","FAIL")</f>
        <v>PASS</v>
      </c>
    </row>
    <row r="75" spans="1:15">
      <c r="A75" s="36" t="s">
        <v>385</v>
      </c>
      <c r="B75" s="36" t="s">
        <v>386</v>
      </c>
      <c r="C75" s="36" t="b">
        <v>1</v>
      </c>
      <c r="D75" s="36" t="b">
        <f>IF('05 Master'!AS11="Verify",ISNUMBER(_xlfn.XMATCH('_Engine Master'!B100,{"VIABLE","NO SOLUTION","CONFLICT","SEARCH ERROR"})),'_Engine Master'!B100="")</f>
        <v>1</v>
      </c>
      <c r="E75" s="52" t="str">
        <f>IF(D75=C75,"PASS","FAIL")</f>
        <v>PASS</v>
      </c>
    </row>
    <row r="76" spans="1:15">
      <c r="G76" t="s">
        <v>387</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405</v>
      </c>
      <c r="B87" s="44"/>
      <c r="C87" s="44"/>
      <c r="D87" s="44"/>
      <c r="E87" s="49"/>
      <c r="P87" t="s">
        <v>406</v>
      </c>
    </row>
    <row r="88" spans="1:16" ht="17" thickBot="1">
      <c r="A88" s="36" t="s">
        <v>407</v>
      </c>
      <c r="B88" s="36" t="s">
        <v>408</v>
      </c>
      <c r="C88" s="36" t="s">
        <v>409</v>
      </c>
      <c r="D88" s="36" t="str" cm="1">
        <f t="array" ref="D88">IF($P$88="Run",SDK_Uniqueness(_Engine!$B$27:$J$35),"NOT RUN")</f>
        <v>NOT RUN</v>
      </c>
      <c r="E88" s="52" t="str">
        <f t="shared" ref="E88:E95" si="4">IF($P$88&lt;&gt;"Run","SKIP",IF(D88=C88,"PASS","FAIL"))</f>
        <v>SKIP</v>
      </c>
      <c r="P88" t="s">
        <v>40</v>
      </c>
    </row>
    <row r="89" spans="1:16" ht="17" thickBot="1">
      <c r="A89" s="36" t="s">
        <v>410</v>
      </c>
      <c r="B89" s="36" t="s">
        <v>411</v>
      </c>
      <c r="C89" s="36" t="s">
        <v>409</v>
      </c>
      <c r="D89" s="36" t="str" cm="1">
        <f t="array" ref="D89">IF($P$88="Run",SDK_Uniqueness('_Engine Medium'!$B$27:$J$35),"NOT RUN")</f>
        <v>NOT RUN</v>
      </c>
      <c r="E89" s="52" t="str">
        <f t="shared" si="4"/>
        <v>SKIP</v>
      </c>
    </row>
    <row r="90" spans="1:16" ht="17" thickBot="1">
      <c r="A90" s="36" t="s">
        <v>412</v>
      </c>
      <c r="B90" s="36" t="s">
        <v>413</v>
      </c>
      <c r="C90" s="36" t="s">
        <v>409</v>
      </c>
      <c r="D90" s="36" t="str" cm="1">
        <f t="array" ref="D90">IF($P$88="Run",SDK_Uniqueness('_Engine Hard'!$B$27:$J$35),"NOT RUN")</f>
        <v>NOT RUN</v>
      </c>
      <c r="E90" s="52" t="str">
        <f t="shared" si="4"/>
        <v>SKIP</v>
      </c>
    </row>
    <row r="91" spans="1:16" ht="17" thickBot="1">
      <c r="A91" s="36" t="s">
        <v>414</v>
      </c>
      <c r="B91" s="36" t="s">
        <v>415</v>
      </c>
      <c r="C91" s="36" t="s">
        <v>409</v>
      </c>
      <c r="D91" s="36" t="str" cm="1">
        <f t="array" ref="D91">IF($P$88="Run",SDK_Uniqueness('_Engine Expert'!$B$27:$J$35),"NOT RUN")</f>
        <v>NOT RUN</v>
      </c>
      <c r="E91" s="52" t="str">
        <f t="shared" si="4"/>
        <v>SKIP</v>
      </c>
    </row>
    <row r="92" spans="1:16" ht="17" thickBot="1">
      <c r="A92" s="36" t="s">
        <v>416</v>
      </c>
      <c r="B92" s="36" t="s">
        <v>417</v>
      </c>
      <c r="C92" s="36" t="s">
        <v>409</v>
      </c>
      <c r="D92" s="36" t="str" cm="1">
        <f t="array" ref="D92">IF($P$88="Run",SDK_Uniqueness('_Engine Master'!$B$27:$J$35),"NOT RUN")</f>
        <v>NOT RUN</v>
      </c>
      <c r="E92" s="52" t="str">
        <f t="shared" si="4"/>
        <v>SKIP</v>
      </c>
    </row>
    <row r="93" spans="1:16" ht="17" thickBot="1">
      <c r="A93" s="36" t="s">
        <v>418</v>
      </c>
      <c r="B93" s="36" t="s">
        <v>419</v>
      </c>
      <c r="C93" s="36" t="s">
        <v>420</v>
      </c>
      <c r="D93" s="36" t="str" cm="1">
        <f t="array" ref="D93">IF($P$88="Run",SDK_Uniqueness($G$40:$O$48),"NOT RUN")</f>
        <v>NOT RUN</v>
      </c>
      <c r="E93" s="52" t="str">
        <f t="shared" si="4"/>
        <v>SKIP</v>
      </c>
    </row>
    <row r="94" spans="1:16" ht="17" thickBot="1">
      <c r="A94" s="36" t="s">
        <v>421</v>
      </c>
      <c r="B94" s="36" t="s">
        <v>422</v>
      </c>
      <c r="C94" s="36" t="s">
        <v>409</v>
      </c>
      <c r="D94" s="36" t="str" cm="1">
        <f t="array" ref="D94">IF($P$88="Run",SDK_Uniqueness($G$55:$O$63),"NOT RUN")</f>
        <v>NOT RUN</v>
      </c>
      <c r="E94" s="52" t="str">
        <f t="shared" si="4"/>
        <v>SKIP</v>
      </c>
    </row>
    <row r="95" spans="1:16">
      <c r="A95" s="36" t="s">
        <v>423</v>
      </c>
      <c r="B95" s="36" t="s">
        <v>424</v>
      </c>
      <c r="C95" s="36" t="s">
        <v>425</v>
      </c>
      <c r="D95" s="36" t="str" cm="1">
        <f t="array" ref="D95">IF($P$88="Run",SDK_Uniqueness($G$77:$O$85),"NOT RUN")</f>
        <v>NOT RUN</v>
      </c>
      <c r="E95" s="52" t="str">
        <f t="shared" si="4"/>
        <v>SKIP</v>
      </c>
    </row>
    <row r="97" spans="1:15">
      <c r="G97" t="s">
        <v>427</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428</v>
      </c>
    </row>
    <row r="109" spans="1:15">
      <c r="A109" t="s">
        <v>429</v>
      </c>
      <c r="B109" t="s">
        <v>430</v>
      </c>
      <c r="C109" t="b">
        <v>1</v>
      </c>
      <c r="D109" t="b" cm="1">
        <f t="array" ref="D109">SDK_HintAssignmentValid(_Engine!$B$27:$J$35,_Engine!$B$39:$J$47,SDK_BasicHint(_Engine!$B$27:$J$35))</f>
        <v>1</v>
      </c>
      <c r="E109" t="str">
        <f t="shared" ref="E109:E129" si="5">IF(D109=C109,"PASS","FAIL")</f>
        <v>PASS</v>
      </c>
    </row>
    <row r="110" spans="1:15">
      <c r="A110" t="s">
        <v>431</v>
      </c>
      <c r="B110" t="s">
        <v>430</v>
      </c>
      <c r="C110" t="b">
        <v>1</v>
      </c>
      <c r="D110" t="b" cm="1">
        <f t="array" ref="D110">SDK_HintAssignmentValid('_Engine Medium'!$B$27:$J$35,'_Engine Medium'!$B$39:$J$47,SDK_BasicHint('_Engine Medium'!$B$27:$J$35))</f>
        <v>1</v>
      </c>
      <c r="E110" t="str">
        <f t="shared" si="5"/>
        <v>PASS</v>
      </c>
    </row>
    <row r="111" spans="1:15">
      <c r="A111" t="s">
        <v>432</v>
      </c>
      <c r="B111" t="s">
        <v>430</v>
      </c>
      <c r="C111" t="b">
        <v>1</v>
      </c>
      <c r="D111" t="b" cm="1">
        <f t="array" ref="D111">SDK_HintAssignmentValid('_Engine Hard'!$B$27:$J$35,'_Engine Hard'!$B$39:$J$47,SDK_BasicHint('_Engine Hard'!$B$27:$J$35))</f>
        <v>1</v>
      </c>
      <c r="E111" t="str">
        <f t="shared" si="5"/>
        <v>PASS</v>
      </c>
    </row>
    <row r="112" spans="1:15">
      <c r="A112" t="s">
        <v>433</v>
      </c>
      <c r="B112" t="s">
        <v>430</v>
      </c>
      <c r="C112" t="b">
        <v>1</v>
      </c>
      <c r="D112" t="b" cm="1">
        <f t="array" ref="D112">SDK_HintAssignmentValid('_Engine Expert'!$B$27:$J$35,'_Engine Expert'!$B$39:$J$47,SDK_BasicHint('_Engine Expert'!$B$27:$J$35))</f>
        <v>1</v>
      </c>
      <c r="E112" t="str">
        <f t="shared" si="5"/>
        <v>PASS</v>
      </c>
    </row>
    <row r="113" spans="1:5">
      <c r="A113" t="s">
        <v>434</v>
      </c>
      <c r="B113" t="s">
        <v>430</v>
      </c>
      <c r="C113" t="b">
        <v>1</v>
      </c>
      <c r="D113" t="b" cm="1">
        <f t="array" ref="D113">SDK_HintAssignmentValid('_Engine Master'!$B$27:$J$35,'_Engine Master'!$B$39:$J$47,SDK_BasicHint('_Engine Master'!$B$27:$J$35))</f>
        <v>1</v>
      </c>
      <c r="E113" t="str">
        <f t="shared" si="5"/>
        <v>PASS</v>
      </c>
    </row>
    <row r="114" spans="1:5">
      <c r="A114" t="s">
        <v>435</v>
      </c>
      <c r="B114" t="s">
        <v>482</v>
      </c>
      <c r="C114" t="b">
        <v>1</v>
      </c>
      <c r="D114" t="b" cm="1">
        <f t="array" ref="D114">SDK_BasicHint($G$98:$O$106)=""</f>
        <v>1</v>
      </c>
      <c r="E114" t="str">
        <f t="shared" si="5"/>
        <v>PASS</v>
      </c>
    </row>
    <row r="115" spans="1:5">
      <c r="A115" t="s">
        <v>436</v>
      </c>
      <c r="B115" t="s">
        <v>451</v>
      </c>
      <c r="C115" t="b">
        <v>1</v>
      </c>
      <c r="D115" t="b" cm="1">
        <f t="array" ref="D115">SDK_PointingRowHint(_Engine!$B$27:$J$35)="Pointing row · Box 1 confines digit 7 to row 2 · Remove 7 from R2C7, R2C9."</f>
        <v>1</v>
      </c>
      <c r="E115" t="str">
        <f t="shared" si="5"/>
        <v>PASS</v>
      </c>
    </row>
    <row r="116" spans="1:5">
      <c r="A116" t="s">
        <v>437</v>
      </c>
      <c r="B116" t="s">
        <v>452</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453</v>
      </c>
      <c r="B117" t="s">
        <v>438</v>
      </c>
      <c r="C117" t="b">
        <v>1</v>
      </c>
      <c r="D117" t="b" cm="1">
        <f t="array" ref="D117">SDK_CoordRole(SDK_PointingRowHint(_Engine!$B$27:$J$35),"R2C7")="TARGET"</f>
        <v>1</v>
      </c>
      <c r="E117" t="str">
        <f t="shared" si="5"/>
        <v>PASS</v>
      </c>
    </row>
    <row r="118" spans="1:5">
      <c r="A118" t="s">
        <v>454</v>
      </c>
      <c r="B118" t="s">
        <v>451</v>
      </c>
      <c r="C118" t="b">
        <v>1</v>
      </c>
      <c r="D118" t="b" cm="1">
        <f t="array" ref="D118">SDK_PointingColHint(_Engine!$B$27:$J$35)="Pointing column · Box 4 confines digit 9 to column 3 · Remove 9 from R7C3."</f>
        <v>1</v>
      </c>
      <c r="E118" t="str">
        <f t="shared" si="5"/>
        <v>PASS</v>
      </c>
    </row>
    <row r="119" spans="1:5">
      <c r="A119" t="s">
        <v>455</v>
      </c>
      <c r="B119" t="s">
        <v>456</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457</v>
      </c>
      <c r="B120" t="s">
        <v>458</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439</v>
      </c>
      <c r="B121" t="s">
        <v>440</v>
      </c>
      <c r="C121" t="b">
        <v>1</v>
      </c>
      <c r="D121" t="b" cm="1">
        <f t="array" ref="D121">SDK_HintClaiming(_Engine!$B$27:$J$35)="Claiming row · Row 2 confines digit 3 to box 3 · Remove 3 from R3C7."</f>
        <v>1</v>
      </c>
      <c r="E121" t="str">
        <f t="shared" si="5"/>
        <v>PASS</v>
      </c>
    </row>
    <row r="122" spans="1:5">
      <c r="A122" t="s">
        <v>441</v>
      </c>
      <c r="B122" t="s">
        <v>442</v>
      </c>
      <c r="C122" t="b">
        <v>1</v>
      </c>
      <c r="D122" t="b" cm="1">
        <f t="array" ref="D122">SDK_HintNakedPair('_Engine Hard'!$B$27:$J$35)="Naked pair in box · R1C8 and R2C9 contain only 3/5 in box 3 · Remove 3 and 5 from R3C7."</f>
        <v>1</v>
      </c>
      <c r="E122" t="str">
        <f t="shared" si="5"/>
        <v>PASS</v>
      </c>
    </row>
    <row r="123" spans="1:5">
      <c r="A123" t="s">
        <v>443</v>
      </c>
      <c r="B123" t="s">
        <v>444</v>
      </c>
      <c r="C123" t="b">
        <v>1</v>
      </c>
      <c r="D123" t="b" cm="1">
        <f t="array" ref="D123">SDK_SolveStatus($G$40:$O$48)="NO SOLUTION"</f>
        <v>1</v>
      </c>
      <c r="E123" t="str">
        <f t="shared" si="5"/>
        <v>PASS</v>
      </c>
    </row>
    <row r="124" spans="1:5">
      <c r="A124" t="s">
        <v>445</v>
      </c>
      <c r="B124" t="s">
        <v>444</v>
      </c>
      <c r="C124" t="b">
        <v>1</v>
      </c>
      <c r="D124" t="b" cm="1">
        <f t="array" ref="D124">SDK_SolveStatus($G$55:$O$63)="VIABLE"</f>
        <v>1</v>
      </c>
      <c r="E124" t="str">
        <f t="shared" si="5"/>
        <v>PASS</v>
      </c>
    </row>
    <row r="125" spans="1:5">
      <c r="A125" t="s">
        <v>446</v>
      </c>
      <c r="B125" t="s">
        <v>447</v>
      </c>
      <c r="C125" t="b">
        <v>1</v>
      </c>
      <c r="D125" t="b" cm="1">
        <f t="array" ref="D125">SDK_SolveStatus(1)="SEARCH ERROR"</f>
        <v>1</v>
      </c>
      <c r="E125" t="str">
        <f t="shared" si="5"/>
        <v>PASS</v>
      </c>
    </row>
    <row r="126" spans="1:5">
      <c r="A126" t="s">
        <v>448</v>
      </c>
      <c r="B126" t="s">
        <v>449</v>
      </c>
      <c r="C126" t="b">
        <v>1</v>
      </c>
      <c r="D126" t="b" cm="1">
        <f t="array" ref="D126">SDK_HintPointing(_Engine!$B$27:$J$35)=SDK_PointingHint(_Engine!$B$27:$J$35)</f>
        <v>1</v>
      </c>
      <c r="E126" t="str">
        <f t="shared" si="5"/>
        <v>PASS</v>
      </c>
    </row>
    <row r="127" spans="1:5">
      <c r="A127" t="s">
        <v>450</v>
      </c>
      <c r="B127" t="s">
        <v>449</v>
      </c>
      <c r="C127" t="b">
        <v>1</v>
      </c>
      <c r="D127" t="b" cm="1">
        <f t="array" ref="D127">SDK_CoachHint(_Engine!$B$27:$J$35)=SDK_CoachHintV2(_Engine!$B$27:$J$35)</f>
        <v>1</v>
      </c>
      <c r="E127" t="str">
        <f t="shared" si="5"/>
        <v>PASS</v>
      </c>
    </row>
    <row r="128" spans="1:5">
      <c r="A128" t="s">
        <v>459</v>
      </c>
      <c r="B128" t="s">
        <v>460</v>
      </c>
      <c r="C128" t="b">
        <v>1</v>
      </c>
      <c r="D128" t="b" cm="1">
        <f t="array" ref="D128">INDEX(SDK_CoachTraceV2(_Engine!$B$27:$J$35),1)="Technique — Naked single | Pattern — R5C5 = 5"</f>
        <v>1</v>
      </c>
      <c r="E128" t="str">
        <f t="shared" si="5"/>
        <v>PASS</v>
      </c>
    </row>
    <row r="129" spans="1:5">
      <c r="A129" t="s">
        <v>461</v>
      </c>
      <c r="B129" t="s">
        <v>462</v>
      </c>
      <c r="C129" t="b">
        <v>1</v>
      </c>
      <c r="D129" t="b" cm="1">
        <f t="array" ref="D129">INDEX(SDK_CoachTraceV2(_Engine!$B$27:$J$35),2)="Action — This is the only legal candidate remaining in the square."</f>
        <v>1</v>
      </c>
      <c r="E129" t="str">
        <f t="shared" si="5"/>
        <v>PASS</v>
      </c>
    </row>
    <row r="131" spans="1:5">
      <c r="A131" s="54" t="s">
        <v>484</v>
      </c>
    </row>
    <row r="132" spans="1:5">
      <c r="A132" t="s">
        <v>485</v>
      </c>
      <c r="B132" t="s">
        <v>486</v>
      </c>
      <c r="C132" t="b">
        <v>1</v>
      </c>
      <c r="D132" t="b">
        <f>AND('01 Easy'!$AS$11="Off",'02 Medium'!$AS$11="Off",'03 Hard'!$AS$11="Off",'04 Expert'!$AS$11="Off",'05 Master'!$AS$11="Off")</f>
        <v>1</v>
      </c>
      <c r="E132" t="str">
        <f t="shared" ref="E132:E140" si="6">IF(D132=C132,"PASS","FAIL")</f>
        <v>PASS</v>
      </c>
    </row>
    <row r="133" spans="1:5">
      <c r="A133" t="s">
        <v>487</v>
      </c>
      <c r="B133" t="s">
        <v>488</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489</v>
      </c>
      <c r="B134" t="s">
        <v>490</v>
      </c>
      <c r="C134" t="b">
        <v>1</v>
      </c>
      <c r="D134" t="b">
        <f>AND(LEFT('01 Easy'!$AM$5,11)="IN PROGRESS",LEFT('02 Medium'!$AM$5,11)="IN PROGRESS",LEFT('03 Hard'!$AM$5,11)="IN PROGRESS",LEFT('04 Expert'!$AM$5,11)="IN PROGRESS",LEFT('05 Master'!$AM$5,11)="IN PROGRESS")</f>
        <v>1</v>
      </c>
      <c r="E134" t="str">
        <f t="shared" si="6"/>
        <v>PASS</v>
      </c>
    </row>
    <row r="135" spans="1:5">
      <c r="A135" t="s">
        <v>491</v>
      </c>
      <c r="B135" t="s">
        <v>492</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493</v>
      </c>
      <c r="B136" t="s">
        <v>494</v>
      </c>
      <c r="C136" t="b">
        <v>1</v>
      </c>
      <c r="D136" t="b">
        <f>AND('01 Easy'!$AU$8=0,'02 Medium'!$AU$8=0,'03 Hard'!$AU$8=0,'04 Expert'!$AU$8=0,'05 Master'!$AU$8=0)</f>
        <v>1</v>
      </c>
      <c r="E136" t="str">
        <f t="shared" si="6"/>
        <v>PASS</v>
      </c>
    </row>
    <row r="137" spans="1:5">
      <c r="A137" t="s">
        <v>495</v>
      </c>
      <c r="B137" t="s">
        <v>496</v>
      </c>
      <c r="C137" t="b">
        <v>1</v>
      </c>
      <c r="D137" t="b">
        <f>AND('01 Easy'!$AM$14="",'02 Medium'!$AM$14="",'03 Hard'!$AM$14="",'04 Expert'!$AM$14="",'05 Master'!$AM$14="")</f>
        <v>1</v>
      </c>
      <c r="E137" t="str">
        <f t="shared" si="6"/>
        <v>PASS</v>
      </c>
    </row>
    <row r="138" spans="1:5">
      <c r="A138" t="s">
        <v>601</v>
      </c>
      <c r="B138" t="s">
        <v>602</v>
      </c>
      <c r="E138" t="s">
        <v>603</v>
      </c>
    </row>
    <row r="139" spans="1:5">
      <c r="A139" t="s">
        <v>604</v>
      </c>
      <c r="B139" t="s">
        <v>605</v>
      </c>
      <c r="E139" t="s">
        <v>603</v>
      </c>
    </row>
    <row r="140" spans="1:5">
      <c r="A140" t="s">
        <v>497</v>
      </c>
      <c r="B140" t="s">
        <v>498</v>
      </c>
      <c r="C140" t="b">
        <v>1</v>
      </c>
      <c r="D140" t="b">
        <f>AND('01 Easy'!$BC$8="AUTO",'02 Medium'!$BC$8="AUTO",'03 Hard'!$BC$8="AUTO",'04 Expert'!$BC$8="AUTO",'05 Master'!$BC$8="AUTO")</f>
        <v>1</v>
      </c>
      <c r="E140" t="str">
        <f t="shared" si="6"/>
        <v>PASS</v>
      </c>
    </row>
    <row r="141" spans="1:5">
      <c r="A141" s="54" t="s">
        <v>520</v>
      </c>
    </row>
    <row r="142" spans="1:5">
      <c r="A142" t="s">
        <v>521</v>
      </c>
      <c r="B142" t="s">
        <v>522</v>
      </c>
      <c r="C142" t="b">
        <v>1</v>
      </c>
      <c r="D142" t="b" cm="1">
        <f t="array" ref="D142">_xlfn.LET(_xlpm.b,'_Engine Master'!$B$27:$J$35,_xlpm.after,SDK_SetCell(_xlpm.b,8,3,1),LEFT(SDK_PlayerHint(_xlpm.after,'_Engine Master'!$B$39:$J$47),12)="Coach reveal")</f>
        <v>1</v>
      </c>
      <c r="E142" t="str">
        <f>IF(D142=C142,"PASS","FAIL")</f>
        <v>PASS</v>
      </c>
    </row>
    <row r="143" spans="1:5">
      <c r="A143" t="s">
        <v>523</v>
      </c>
      <c r="B143" t="s">
        <v>524</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525</v>
      </c>
      <c r="B144" t="s">
        <v>526</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527</v>
      </c>
      <c r="B145" t="s">
        <v>528</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Expert'!$B$88))),ISNUMBER(SEARCH("SDK_PlayerHint",_xlfn.FORMULATEXT('_Engine Master'!$B$88))))</f>
        <v>1</v>
      </c>
      <c r="E145" t="str">
        <f ca="1">IF(D145=C145,"PASS","FAIL")</f>
        <v>PASS</v>
      </c>
    </row>
    <row r="147" spans="1:5">
      <c r="A147" s="54" t="s">
        <v>582</v>
      </c>
    </row>
    <row r="148" spans="1:5">
      <c r="A148" t="s">
        <v>583</v>
      </c>
      <c r="B148" t="s">
        <v>584</v>
      </c>
      <c r="C148" t="b">
        <v>1</v>
      </c>
      <c r="D148" t="b">
        <f>AND('01 Easy'!$AM$20="",'02 Medium'!$AM$20="",'03 Hard'!$AM$20="",'04 Expert'!$AM$20="",'05 Master'!$AM$20="")</f>
        <v>1</v>
      </c>
      <c r="E148" t="str">
        <f>IF(D148=C148,"PASS","FAIL")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8" t="s">
        <v>0</v>
      </c>
      <c r="B1" s="128"/>
      <c r="C1" s="128"/>
      <c r="D1" s="128"/>
      <c r="E1" s="128"/>
      <c r="F1" s="128"/>
      <c r="G1" s="128"/>
      <c r="H1" s="128"/>
      <c r="I1" s="128"/>
      <c r="J1" s="128"/>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7" t="str" cm="1">
        <f t="array" ref="B62">SDK_NextHint($B$3:$J$11)</f>
        <v>Naked single · R5C5 = 5 · This is the only legal candidate remaining in the square.</v>
      </c>
      <c r="C62" s="127"/>
      <c r="D62" s="127"/>
      <c r="E62" s="127"/>
      <c r="F62" s="127"/>
      <c r="G62" s="127"/>
      <c r="H62" s="127"/>
      <c r="I62" s="127"/>
      <c r="J62" s="127"/>
    </row>
    <row r="63" spans="1:10" ht="17">
      <c r="A63" s="2" t="s">
        <v>36</v>
      </c>
      <c r="B63" s="127" t="str" cm="1">
        <f t="array" ref="B63">SDK_HintNaked($B$3:$J$11)</f>
        <v>Naked single · R5C5 = 5 · This is the only legal candidate remaining in the square.</v>
      </c>
      <c r="C63" s="127"/>
      <c r="D63" s="127"/>
      <c r="E63" s="127"/>
      <c r="F63" s="127"/>
      <c r="G63" s="127"/>
      <c r="H63" s="127"/>
      <c r="I63" s="127"/>
      <c r="J63" s="127"/>
    </row>
    <row r="64" spans="1:10" ht="34">
      <c r="A64" s="2" t="s">
        <v>37</v>
      </c>
      <c r="B64" s="127" t="str" cm="1">
        <f t="array" ref="B64">SDK_HintHiddenRow($B$3:$J$11)</f>
        <v>Hidden single in row · R3C7 = 5 · Digit 5 appears in only one candidate set in row 3.</v>
      </c>
      <c r="C64" s="127"/>
      <c r="D64" s="127"/>
      <c r="E64" s="127"/>
      <c r="F64" s="127"/>
      <c r="G64" s="127"/>
      <c r="H64" s="127"/>
      <c r="I64" s="127"/>
      <c r="J64" s="127"/>
    </row>
    <row r="65" spans="1:10" ht="34">
      <c r="A65" s="2" t="s">
        <v>38</v>
      </c>
      <c r="B65" s="127" t="str" cm="1">
        <f t="array" ref="B65">SDK_HintHiddenCol($B$3:$J$11)</f>
        <v>Hidden single in column · R7C1 = 9 · Digit 9 appears in only one candidate set in column 1.</v>
      </c>
      <c r="C65" s="127"/>
      <c r="D65" s="127"/>
      <c r="E65" s="127"/>
      <c r="F65" s="127"/>
      <c r="G65" s="127"/>
      <c r="H65" s="127"/>
      <c r="I65" s="127"/>
      <c r="J65" s="127"/>
    </row>
    <row r="66" spans="1:10" ht="17">
      <c r="A66" s="2" t="s">
        <v>39</v>
      </c>
      <c r="B66" s="127" t="str" cm="1">
        <f t="array" ref="B66">SDK_HintHiddenBox($B$3:$J$11)</f>
        <v>Hidden single in box · R1C6 = 8 · Digit 8 appears in only one candidate set in box 2.</v>
      </c>
      <c r="C66" s="127"/>
      <c r="D66" s="127"/>
      <c r="E66" s="127"/>
      <c r="F66" s="127"/>
      <c r="G66" s="127"/>
      <c r="H66" s="127"/>
      <c r="I66" s="127"/>
      <c r="J66" s="127"/>
    </row>
    <row r="68" spans="1:10" ht="51">
      <c r="A68" s="2" t="s">
        <v>61</v>
      </c>
      <c r="B68" t="str">
        <f>INDEX(SDK_CandidateMatrix($B$27:$J$35),1,3)</f>
        <v>124</v>
      </c>
    </row>
    <row r="69" spans="1:10" ht="34">
      <c r="A69" s="2" t="s">
        <v>62</v>
      </c>
      <c r="B69" t="str" cm="1">
        <f t="array" ref="B69">SDK_HintPointingRow($B$27:$J$35)</f>
        <v>Pointing row · Box 1 confines digit 7 to row 2 · Remove 7 from R2C7, R2C9.</v>
      </c>
    </row>
    <row r="70" spans="1:10" ht="34">
      <c r="A70" s="2" t="s">
        <v>63</v>
      </c>
      <c r="B70" t="str" cm="1">
        <f t="array" ref="B70">SDK_HintPointingCol($B$27:$J$35)</f>
        <v>Pointing column · Box 4 confines digit 9 to column 3 · Remove 9 from R7C3.</v>
      </c>
    </row>
    <row r="71" spans="1:10" ht="34">
      <c r="A71" s="2" t="s">
        <v>64</v>
      </c>
      <c r="B71" t="str" cm="1">
        <f t="array" ref="B71">SDK_HintPointing($B$27:$J$35)</f>
        <v>Pointing row · Box 1 confines digit 7 to row 2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 Remove 3 from R3C7.</v>
      </c>
    </row>
    <row r="75" spans="1:10" ht="34">
      <c r="A75" s="2" t="s">
        <v>67</v>
      </c>
      <c r="B75" t="str" cm="1">
        <f t="array" ref="B75">SDK_HintClaimingCol($B$27:$J$35)</f>
        <v>Claiming column · Column 1 confines digit 3 to box 7 · Remove 3 from R7C3, R8C3, R9C3.</v>
      </c>
    </row>
    <row r="76" spans="1:10" ht="34">
      <c r="A76" s="2" t="s">
        <v>68</v>
      </c>
      <c r="B76" t="str" cm="1">
        <f t="array" ref="B76">SDK_HintClaiming($B$27:$J$35)</f>
        <v>Claiming row · Row 2 confines digit 3 to box 3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55">
      <c r="A92" s="7" t="s">
        <v>77</v>
      </c>
      <c r="B92" s="7" t="str" cm="1">
        <f t="array" ref="B92">SDK_PointingRowHint($B$27:$J$35)</f>
        <v>Pointing row · Box 1 confines digit 7 to row 2 · Remove 7 from R2C7, R2C9.</v>
      </c>
      <c r="C92" s="7"/>
      <c r="D92" s="7"/>
      <c r="E92" s="7"/>
      <c r="F92" s="7"/>
      <c r="G92" s="7"/>
      <c r="H92" s="7"/>
      <c r="I92" s="7"/>
      <c r="J92" s="7"/>
      <c r="K92" s="7"/>
      <c r="L92" s="7"/>
      <c r="M92" s="7"/>
      <c r="N92" s="7"/>
      <c r="O92" s="7"/>
      <c r="P92" s="7"/>
      <c r="Q92" s="7"/>
      <c r="R92" s="7"/>
      <c r="S92" s="7"/>
      <c r="T92" s="7"/>
    </row>
    <row r="93" spans="1:20" ht="272">
      <c r="A93" s="7" t="s">
        <v>78</v>
      </c>
      <c r="B93" s="7" t="str" cm="1">
        <f t="array" ref="B93">SDK_PointingColHint($B$27:$J$35)</f>
        <v>Pointing column · Box 4 confines digit 9 to column 3 · Remove 9 from R7C3.</v>
      </c>
      <c r="C93" s="7"/>
      <c r="D93" s="7"/>
      <c r="E93" s="7"/>
      <c r="F93" s="7"/>
      <c r="G93" s="7"/>
      <c r="H93" s="7"/>
      <c r="I93" s="7"/>
      <c r="J93" s="7"/>
      <c r="K93" s="7"/>
      <c r="L93" s="7"/>
      <c r="M93" s="7"/>
      <c r="N93" s="7"/>
      <c r="O93" s="7"/>
      <c r="P93" s="7"/>
      <c r="Q93" s="7"/>
      <c r="R93" s="7"/>
      <c r="S93" s="7"/>
      <c r="T93" s="7"/>
    </row>
    <row r="94" spans="1:20" ht="255">
      <c r="A94" s="7" t="s">
        <v>79</v>
      </c>
      <c r="B94" s="7" t="str" cm="1">
        <f t="array" ref="B94">SDK_PointingHint($B$27:$J$35)</f>
        <v>Pointing row · Box 1 confines digit 7 to row 2 · Remove 7 from R2C7, R2C9.</v>
      </c>
      <c r="C94" s="7"/>
      <c r="D94" s="7"/>
      <c r="E94" s="7"/>
      <c r="F94" s="7"/>
      <c r="G94" s="7"/>
      <c r="H94" s="7"/>
      <c r="I94" s="7"/>
      <c r="J94" s="7"/>
      <c r="K94" s="7"/>
      <c r="L94" s="7"/>
      <c r="M94" s="7"/>
      <c r="N94" s="7"/>
      <c r="O94" s="7"/>
      <c r="P94" s="7"/>
      <c r="Q94" s="7"/>
      <c r="R94" s="7"/>
      <c r="S94" s="7"/>
      <c r="T94" s="7"/>
    </row>
    <row r="95" spans="1:20" ht="255">
      <c r="A95" s="7" t="s">
        <v>80</v>
      </c>
      <c r="B95" s="7" t="str" cm="1">
        <f t="array" ref="B95">SDK_HintClaiming($B$27:$J$35)</f>
        <v>Claiming row · Row 2 confines digit 3 to box 3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281</v>
      </c>
      <c r="B98" s="7" t="str" cm="1">
        <f t="array" ref="B98">SDK_DeadEnd($B$3:$J$11)</f>
        <v/>
      </c>
      <c r="C98" s="7"/>
      <c r="D98" s="7"/>
      <c r="E98" s="7"/>
      <c r="F98" s="7"/>
      <c r="G98" s="7"/>
      <c r="H98" s="7"/>
      <c r="I98" s="7"/>
      <c r="J98" s="7"/>
      <c r="K98" s="7"/>
      <c r="L98" s="7"/>
      <c r="M98" s="7"/>
      <c r="N98" s="7"/>
      <c r="O98" s="7"/>
      <c r="P98" s="7"/>
      <c r="Q98" s="7"/>
      <c r="R98" s="7"/>
      <c r="S98" s="7"/>
      <c r="T98" s="7"/>
    </row>
    <row r="99" spans="1:20">
      <c r="A99" t="s">
        <v>282</v>
      </c>
      <c r="B99" t="b" cm="1">
        <f t="array" ref="B99">SDK_HasDeadEnd($B$3:$J$11)</f>
        <v>0</v>
      </c>
    </row>
    <row r="100" spans="1:20" ht="68">
      <c r="A100" s="7" t="s">
        <v>355</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8" t="s">
        <v>118</v>
      </c>
      <c r="B1" s="128"/>
      <c r="C1" s="128"/>
      <c r="D1" s="128"/>
      <c r="E1" s="128"/>
      <c r="F1" s="128"/>
      <c r="G1" s="128"/>
      <c r="H1" s="128"/>
      <c r="I1" s="128"/>
      <c r="J1" s="128"/>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7" t="str" cm="1">
        <f t="array" ref="B62">SDK_NextHint($B$3:$J$11)</f>
        <v>Naked single · R1C2 = 3 · This is the only legal candidate remaining in the square.</v>
      </c>
      <c r="C62" s="127"/>
      <c r="D62" s="127"/>
      <c r="E62" s="127"/>
      <c r="F62" s="127"/>
      <c r="G62" s="127"/>
      <c r="H62" s="127"/>
      <c r="I62" s="127"/>
      <c r="J62" s="127"/>
    </row>
    <row r="63" spans="1:10" ht="17">
      <c r="A63" s="2" t="s">
        <v>36</v>
      </c>
      <c r="B63" s="127" t="str" cm="1">
        <f t="array" ref="B63">SDK_HintNaked($B$3:$J$11)</f>
        <v>Naked single · R1C2 = 3 · This is the only legal candidate remaining in the square.</v>
      </c>
      <c r="C63" s="127"/>
      <c r="D63" s="127"/>
      <c r="E63" s="127"/>
      <c r="F63" s="127"/>
      <c r="G63" s="127"/>
      <c r="H63" s="127"/>
      <c r="I63" s="127"/>
      <c r="J63" s="127"/>
    </row>
    <row r="64" spans="1:10" ht="34">
      <c r="A64" s="2" t="s">
        <v>37</v>
      </c>
      <c r="B64" s="127" t="str" cm="1">
        <f t="array" ref="B64">SDK_HintHiddenRow($B$3:$J$11)</f>
        <v>Hidden single in row · R1C1 = 4 · Digit 4 appears in only one candidate set in row 1.</v>
      </c>
      <c r="C64" s="127"/>
      <c r="D64" s="127"/>
      <c r="E64" s="127"/>
      <c r="F64" s="127"/>
      <c r="G64" s="127"/>
      <c r="H64" s="127"/>
      <c r="I64" s="127"/>
      <c r="J64" s="127"/>
    </row>
    <row r="65" spans="1:10" ht="34">
      <c r="A65" s="2" t="s">
        <v>38</v>
      </c>
      <c r="B65" s="127" t="str" cm="1">
        <f t="array" ref="B65">SDK_HintHiddenCol($B$3:$J$11)</f>
        <v>Hidden single in column · R1C1 = 4 · Digit 4 appears in only one candidate set in column 1.</v>
      </c>
      <c r="C65" s="127"/>
      <c r="D65" s="127"/>
      <c r="E65" s="127"/>
      <c r="F65" s="127"/>
      <c r="G65" s="127"/>
      <c r="H65" s="127"/>
      <c r="I65" s="127"/>
      <c r="J65" s="127"/>
    </row>
    <row r="66" spans="1:10" ht="17">
      <c r="A66" s="2" t="s">
        <v>39</v>
      </c>
      <c r="B66" s="127" t="str" cm="1">
        <f t="array" ref="B66">SDK_HintHiddenBox($B$3:$J$11)</f>
        <v>Hidden single in box · R1C1 = 4 · Digit 4 appears in only one candidate set in box 1.</v>
      </c>
      <c r="C66" s="127"/>
      <c r="D66" s="127"/>
      <c r="E66" s="127"/>
      <c r="F66" s="127"/>
      <c r="G66" s="127"/>
      <c r="H66" s="127"/>
      <c r="I66" s="127"/>
      <c r="J66" s="127"/>
    </row>
    <row r="68" spans="1:10" ht="51">
      <c r="A68" s="2" t="s">
        <v>61</v>
      </c>
      <c r="B68" t="str">
        <f>INDEX(SDK_CandidateMatrix($B$27:$J$35),1,3)</f>
        <v>5</v>
      </c>
    </row>
    <row r="69" spans="1:10" ht="34">
      <c r="A69" s="2" t="s">
        <v>62</v>
      </c>
      <c r="B69" t="str" cm="1">
        <f t="array" ref="B69">SDK_HintPointingRow($B$27:$J$35)</f>
        <v>Pointing row · Box 2 confines digit 8 to row 3 · Remove 8 from R3C8.</v>
      </c>
    </row>
    <row r="70" spans="1:10" ht="34">
      <c r="A70" s="2" t="s">
        <v>63</v>
      </c>
      <c r="B70" t="str" cm="1">
        <f t="array" ref="B70">SDK_HintPointingCol($B$27:$J$35)</f>
        <v>Pointing column · Box 1 confines digit 2 to column 3 · Remove 2 from R8C3.</v>
      </c>
    </row>
    <row r="71" spans="1:10" ht="34">
      <c r="A71" s="2" t="s">
        <v>64</v>
      </c>
      <c r="B71" t="str" cm="1">
        <f t="array" ref="B71">SDK_HintPointing($B$27:$J$35)</f>
        <v>Pointing row · Box 2 confines digit 8 to row 3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 Remove 3 from R3C9.</v>
      </c>
    </row>
    <row r="75" spans="1:10" ht="34">
      <c r="A75" s="2" t="s">
        <v>67</v>
      </c>
      <c r="B75" t="str" cm="1">
        <f t="array" ref="B75">SDK_HintClaimingCol($B$27:$J$35)</f>
        <v>Claiming column · Column 1 confines digit 2 to box 7 · Remove 2 from R8C3.</v>
      </c>
    </row>
    <row r="76" spans="1:10" ht="34">
      <c r="A76" s="2" t="s">
        <v>68</v>
      </c>
      <c r="B76" t="str" cm="1">
        <f t="array" ref="B76">SDK_HintClaiming($B$27:$J$35)</f>
        <v>Claiming row · Row 2 confines digit 3 to box 3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38">
      <c r="A92" s="7" t="s">
        <v>77</v>
      </c>
      <c r="B92" s="7" t="str" cm="1">
        <f t="array" ref="B92">SDK_PointingRowHint($B$27:$J$35)</f>
        <v>Pointing row · Box 2 confines digit 8 to row 3 · Remove 8 from R3C8.</v>
      </c>
      <c r="C92" s="7"/>
      <c r="D92" s="7"/>
      <c r="E92" s="7"/>
      <c r="F92" s="7"/>
      <c r="G92" s="7"/>
      <c r="H92" s="7"/>
      <c r="I92" s="7"/>
      <c r="J92" s="7"/>
      <c r="K92" s="7"/>
      <c r="L92" s="7"/>
      <c r="M92" s="7"/>
      <c r="N92" s="7"/>
      <c r="O92" s="7"/>
      <c r="P92" s="7"/>
      <c r="Q92" s="7"/>
      <c r="R92" s="7"/>
      <c r="S92" s="7"/>
      <c r="T92" s="7"/>
    </row>
    <row r="93" spans="1:20" ht="272">
      <c r="A93" s="7" t="s">
        <v>78</v>
      </c>
      <c r="B93" s="7" t="str" cm="1">
        <f t="array" ref="B93">SDK_PointingColHint($B$27:$J$35)</f>
        <v>Pointing column · Box 1 confines digit 2 to column 3 · Remove 2 from R8C3.</v>
      </c>
      <c r="C93" s="7"/>
      <c r="D93" s="7"/>
      <c r="E93" s="7"/>
      <c r="F93" s="7"/>
      <c r="G93" s="7"/>
      <c r="H93" s="7"/>
      <c r="I93" s="7"/>
      <c r="J93" s="7"/>
      <c r="K93" s="7"/>
      <c r="L93" s="7"/>
      <c r="M93" s="7"/>
      <c r="N93" s="7"/>
      <c r="O93" s="7"/>
      <c r="P93" s="7"/>
      <c r="Q93" s="7"/>
      <c r="R93" s="7"/>
      <c r="S93" s="7"/>
      <c r="T93" s="7"/>
    </row>
    <row r="94" spans="1:20" ht="238">
      <c r="A94" s="7" t="s">
        <v>79</v>
      </c>
      <c r="B94" s="7" t="str" cm="1">
        <f t="array" ref="B94">SDK_PointingHint($B$27:$J$35)</f>
        <v>Pointing row · Box 2 confines digit 8 to row 3 · Remove 8 from R3C8.</v>
      </c>
      <c r="C94" s="7"/>
      <c r="D94" s="7"/>
      <c r="E94" s="7"/>
      <c r="F94" s="7"/>
      <c r="G94" s="7"/>
      <c r="H94" s="7"/>
      <c r="I94" s="7"/>
      <c r="J94" s="7"/>
      <c r="K94" s="7"/>
      <c r="L94" s="7"/>
      <c r="M94" s="7"/>
      <c r="N94" s="7"/>
      <c r="O94" s="7"/>
      <c r="P94" s="7"/>
      <c r="Q94" s="7"/>
      <c r="R94" s="7"/>
      <c r="S94" s="7"/>
      <c r="T94" s="7"/>
    </row>
    <row r="95" spans="1:20" ht="255">
      <c r="A95" s="7" t="s">
        <v>80</v>
      </c>
      <c r="B95" s="7" t="str" cm="1">
        <f t="array" ref="B95">SDK_HintClaiming($B$27:$J$35)</f>
        <v>Claiming row · Row 2 confines digit 3 to box 3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281</v>
      </c>
      <c r="B98" s="7" t="str" cm="1">
        <f t="array" ref="B98">SDK_DeadEnd($B$3:$J$11)</f>
        <v/>
      </c>
      <c r="C98" s="7"/>
      <c r="D98" s="7"/>
      <c r="E98" s="7"/>
      <c r="F98" s="7"/>
      <c r="G98" s="7"/>
      <c r="H98" s="7"/>
      <c r="I98" s="7"/>
      <c r="J98" s="7"/>
      <c r="K98" s="7"/>
      <c r="L98" s="7"/>
      <c r="M98" s="7"/>
      <c r="N98" s="7"/>
      <c r="O98" s="7"/>
      <c r="P98" s="7"/>
      <c r="Q98" s="7"/>
      <c r="R98" s="7"/>
      <c r="S98" s="7"/>
      <c r="T98" s="7"/>
    </row>
    <row r="99" spans="1:20">
      <c r="A99" t="s">
        <v>282</v>
      </c>
      <c r="B99" t="b" cm="1">
        <f t="array" ref="B99">SDK_HasDeadEnd($B$3:$J$11)</f>
        <v>0</v>
      </c>
    </row>
    <row r="100" spans="1:20" ht="68">
      <c r="A100" s="7" t="s">
        <v>355</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8" t="s">
        <v>119</v>
      </c>
      <c r="B1" s="128"/>
      <c r="C1" s="128"/>
      <c r="D1" s="128"/>
      <c r="E1" s="128"/>
      <c r="F1" s="128"/>
      <c r="G1" s="128"/>
      <c r="H1" s="128"/>
      <c r="I1" s="128"/>
      <c r="J1" s="128"/>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7" t="str" cm="1">
        <f t="array" ref="B62">SDK_NextHint($B$3:$J$11)</f>
        <v>Naked single · R7C3 = 6 · This is the only legal candidate remaining in the square.</v>
      </c>
      <c r="C62" s="127"/>
      <c r="D62" s="127"/>
      <c r="E62" s="127"/>
      <c r="F62" s="127"/>
      <c r="G62" s="127"/>
      <c r="H62" s="127"/>
      <c r="I62" s="127"/>
      <c r="J62" s="127"/>
    </row>
    <row r="63" spans="1:10" ht="17">
      <c r="A63" s="2" t="s">
        <v>36</v>
      </c>
      <c r="B63" s="127" t="str" cm="1">
        <f t="array" ref="B63">SDK_HintNaked($B$3:$J$11)</f>
        <v>Naked single · R7C3 = 6 · This is the only legal candidate remaining in the square.</v>
      </c>
      <c r="C63" s="127"/>
      <c r="D63" s="127"/>
      <c r="E63" s="127"/>
      <c r="F63" s="127"/>
      <c r="G63" s="127"/>
      <c r="H63" s="127"/>
      <c r="I63" s="127"/>
      <c r="J63" s="127"/>
    </row>
    <row r="64" spans="1:10" ht="34">
      <c r="A64" s="2" t="s">
        <v>37</v>
      </c>
      <c r="B64" s="127" t="str" cm="1">
        <f t="array" ref="B64">SDK_HintHiddenRow($B$3:$J$11)</f>
        <v>Hidden single in row · R5C3 = 9 · Digit 9 appears in only one candidate set in row 5.</v>
      </c>
      <c r="C64" s="127"/>
      <c r="D64" s="127"/>
      <c r="E64" s="127"/>
      <c r="F64" s="127"/>
      <c r="G64" s="127"/>
      <c r="H64" s="127"/>
      <c r="I64" s="127"/>
      <c r="J64" s="127"/>
    </row>
    <row r="65" spans="1:10" ht="34">
      <c r="A65" s="2" t="s">
        <v>38</v>
      </c>
      <c r="B65" s="127" t="str" cm="1">
        <f t="array" ref="B65">SDK_HintHiddenCol($B$3:$J$11)</f>
        <v>Hidden single in column · R7C5 = 7 · Digit 7 appears in only one candidate set in column 5.</v>
      </c>
      <c r="C65" s="127"/>
      <c r="D65" s="127"/>
      <c r="E65" s="127"/>
      <c r="F65" s="127"/>
      <c r="G65" s="127"/>
      <c r="H65" s="127"/>
      <c r="I65" s="127"/>
      <c r="J65" s="127"/>
    </row>
    <row r="66" spans="1:10" ht="17">
      <c r="A66" s="2" t="s">
        <v>39</v>
      </c>
      <c r="B66" s="127" t="str" cm="1">
        <f t="array" ref="B66">SDK_HintHiddenBox($B$3:$J$11)</f>
        <v>Hidden single in box · R3C5 = 9 · Digit 9 appears in only one candidate set in box 2.</v>
      </c>
      <c r="C66" s="127"/>
      <c r="D66" s="127"/>
      <c r="E66" s="127"/>
      <c r="F66" s="127"/>
      <c r="G66" s="127"/>
      <c r="H66" s="127"/>
      <c r="I66" s="127"/>
      <c r="J66" s="127"/>
    </row>
    <row r="68" spans="1:10" ht="51">
      <c r="A68" s="2" t="s">
        <v>61</v>
      </c>
      <c r="B68" t="str">
        <f>INDEX(SDK_CandidateMatrix($B$27:$J$35),1,3)</f>
        <v>123568</v>
      </c>
    </row>
    <row r="69" spans="1:10" ht="34">
      <c r="A69" s="2" t="s">
        <v>62</v>
      </c>
      <c r="B69" t="str" cm="1">
        <f t="array" ref="B69">SDK_HintPointingRow($B$27:$J$35)</f>
        <v>Pointing row · Box 5 confines digit 2 to row 5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 Remove 4 from R3C1, R3C2.</v>
      </c>
    </row>
    <row r="75" spans="1:10" ht="34">
      <c r="A75" s="2" t="s">
        <v>67</v>
      </c>
      <c r="B75" t="str" cm="1">
        <f t="array" ref="B75">SDK_HintClaimingCol($B$27:$J$35)</f>
        <v>Claiming column · Column 2 confines digit 9 to box 1 · Remove 9 from R2C3, R3C3.</v>
      </c>
    </row>
    <row r="76" spans="1:10" ht="34">
      <c r="A76" s="2" t="s">
        <v>68</v>
      </c>
      <c r="B76" t="str" cm="1">
        <f t="array" ref="B76">SDK_HintClaiming($B$27:$J$35)</f>
        <v>Claiming row · Row 1 confines digit 4 to box 1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5 confines digit 2 to row 5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5 confines digit 2 to row 5 · Remove 2 from R5C1, R5C3, R5C7, R5C9.</v>
      </c>
      <c r="C94" s="7"/>
      <c r="D94" s="7"/>
      <c r="E94" s="7"/>
      <c r="F94" s="7"/>
      <c r="G94" s="7"/>
      <c r="H94" s="7"/>
      <c r="I94" s="7"/>
      <c r="J94" s="7"/>
      <c r="K94" s="7"/>
      <c r="L94" s="7"/>
      <c r="M94" s="7"/>
      <c r="N94" s="7"/>
      <c r="O94" s="7"/>
      <c r="P94" s="7"/>
      <c r="Q94" s="7"/>
      <c r="R94" s="7"/>
      <c r="S94" s="7"/>
      <c r="T94" s="7"/>
    </row>
    <row r="95" spans="1:20" ht="272">
      <c r="A95" s="7" t="s">
        <v>80</v>
      </c>
      <c r="B95" s="7" t="str" cm="1">
        <f t="array" ref="B95">SDK_HintClaiming($B$27:$J$35)</f>
        <v>Claiming row · Row 1 confines digit 4 to box 1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281</v>
      </c>
      <c r="B98" s="7" t="str" cm="1">
        <f t="array" ref="B98">SDK_DeadEnd($B$3:$J$11)</f>
        <v/>
      </c>
      <c r="C98" s="7"/>
      <c r="D98" s="7"/>
      <c r="E98" s="7"/>
      <c r="F98" s="7"/>
      <c r="G98" s="7"/>
      <c r="H98" s="7"/>
      <c r="I98" s="7"/>
      <c r="J98" s="7"/>
      <c r="K98" s="7"/>
      <c r="L98" s="7"/>
      <c r="M98" s="7"/>
      <c r="N98" s="7"/>
      <c r="O98" s="7"/>
      <c r="P98" s="7"/>
      <c r="Q98" s="7"/>
      <c r="R98" s="7"/>
      <c r="S98" s="7"/>
      <c r="T98" s="7"/>
    </row>
    <row r="99" spans="1:20">
      <c r="A99" t="s">
        <v>282</v>
      </c>
      <c r="B99" t="b" cm="1">
        <f t="array" ref="B99">SDK_HasDeadEnd($B$3:$J$11)</f>
        <v>0</v>
      </c>
    </row>
    <row r="100" spans="1:20" ht="68">
      <c r="A100" s="7" t="s">
        <v>355</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8" t="s">
        <v>120</v>
      </c>
      <c r="B1" s="128"/>
      <c r="C1" s="128"/>
      <c r="D1" s="128"/>
      <c r="E1" s="128"/>
      <c r="F1" s="128"/>
      <c r="G1" s="128"/>
      <c r="H1" s="128"/>
      <c r="I1" s="128"/>
      <c r="J1" s="128"/>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7" t="str" cm="1">
        <f t="array" ref="B62">SDK_NextHint($B$3:$J$11)</f>
        <v>Hidden single in row · R4C8 = 2 · Digit 2 appears in only one candidate set in row 4.</v>
      </c>
      <c r="C62" s="127"/>
      <c r="D62" s="127"/>
      <c r="E62" s="127"/>
      <c r="F62" s="127"/>
      <c r="G62" s="127"/>
      <c r="H62" s="127"/>
      <c r="I62" s="127"/>
      <c r="J62" s="127"/>
    </row>
    <row r="63" spans="1:10" ht="17">
      <c r="A63" s="2" t="s">
        <v>36</v>
      </c>
      <c r="B63" s="127" t="str" cm="1">
        <f t="array" ref="B63">SDK_HintNaked($B$3:$J$11)</f>
        <v/>
      </c>
      <c r="C63" s="127"/>
      <c r="D63" s="127"/>
      <c r="E63" s="127"/>
      <c r="F63" s="127"/>
      <c r="G63" s="127"/>
      <c r="H63" s="127"/>
      <c r="I63" s="127"/>
      <c r="J63" s="127"/>
    </row>
    <row r="64" spans="1:10" ht="34">
      <c r="A64" s="2" t="s">
        <v>37</v>
      </c>
      <c r="B64" s="127" t="str" cm="1">
        <f t="array" ref="B64">SDK_HintHiddenRow($B$3:$J$11)</f>
        <v>Hidden single in row · R4C8 = 2 · Digit 2 appears in only one candidate set in row 4.</v>
      </c>
      <c r="C64" s="127"/>
      <c r="D64" s="127"/>
      <c r="E64" s="127"/>
      <c r="F64" s="127"/>
      <c r="G64" s="127"/>
      <c r="H64" s="127"/>
      <c r="I64" s="127"/>
      <c r="J64" s="127"/>
    </row>
    <row r="65" spans="1:10" ht="34">
      <c r="A65" s="2" t="s">
        <v>38</v>
      </c>
      <c r="B65" s="127" t="str" cm="1">
        <f t="array" ref="B65">SDK_HintHiddenCol($B$3:$J$11)</f>
        <v>Hidden single in column · R8C4 = 9 · Digit 9 appears in only one candidate set in column 4.</v>
      </c>
      <c r="C65" s="127"/>
      <c r="D65" s="127"/>
      <c r="E65" s="127"/>
      <c r="F65" s="127"/>
      <c r="G65" s="127"/>
      <c r="H65" s="127"/>
      <c r="I65" s="127"/>
      <c r="J65" s="127"/>
    </row>
    <row r="66" spans="1:10" ht="17">
      <c r="A66" s="2" t="s">
        <v>39</v>
      </c>
      <c r="B66" s="127" t="str" cm="1">
        <f t="array" ref="B66">SDK_HintHiddenBox($B$3:$J$11)</f>
        <v>Hidden single in box · R4C8 = 2 · Digit 2 appears in only one candidate set in box 6.</v>
      </c>
      <c r="C66" s="127"/>
      <c r="D66" s="127"/>
      <c r="E66" s="127"/>
      <c r="F66" s="127"/>
      <c r="G66" s="127"/>
      <c r="H66" s="127"/>
      <c r="I66" s="127"/>
      <c r="J66" s="127"/>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 Remove 3 from R7C9, R8C9, R9C9.</v>
      </c>
    </row>
    <row r="71" spans="1:10" ht="34">
      <c r="A71" s="2" t="s">
        <v>64</v>
      </c>
      <c r="B71" t="str" cm="1">
        <f t="array" ref="B71">SDK_HintPointing($B$27:$J$35)</f>
        <v>Pointing column · Box 3 confines digit 3 to column 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 Remove 3 from R9C3.</v>
      </c>
    </row>
    <row r="76" spans="1:10" ht="34">
      <c r="A76" s="2" t="s">
        <v>68</v>
      </c>
      <c r="B76" t="str" cm="1">
        <f t="array" ref="B76">SDK_HintClaiming($B$27:$J$35)</f>
        <v>Claiming column · Column 1 confines digit 3 to box 7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06">
      <c r="A93" s="7" t="s">
        <v>78</v>
      </c>
      <c r="B93" s="7" t="str" cm="1">
        <f t="array" ref="B93">SDK_PointingColHint($B$27:$J$35)</f>
        <v>Pointing column · Box 3 confines digit 3 to column 9 · Remove 3 from R7C9, R8C9, R9C9.</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column · Box 3 confines digit 3 to column 9 · Remove 3 from R7C9, R8C9, R9C9.</v>
      </c>
      <c r="C94" s="7"/>
      <c r="D94" s="7"/>
      <c r="E94" s="7"/>
      <c r="F94" s="7"/>
      <c r="G94" s="7"/>
      <c r="H94" s="7"/>
      <c r="I94" s="7"/>
      <c r="J94" s="7"/>
      <c r="K94" s="7"/>
      <c r="L94" s="7"/>
      <c r="M94" s="7"/>
      <c r="N94" s="7"/>
      <c r="O94" s="7"/>
      <c r="P94" s="7"/>
      <c r="Q94" s="7"/>
      <c r="R94" s="7"/>
      <c r="S94" s="7"/>
      <c r="T94" s="7"/>
    </row>
    <row r="95" spans="1:20" ht="272">
      <c r="A95" s="7" t="s">
        <v>80</v>
      </c>
      <c r="B95" s="7" t="str" cm="1">
        <f t="array" ref="B95">SDK_HintClaiming($B$27:$J$35)</f>
        <v>Claiming column · Column 1 confines digit 3 to box 7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281</v>
      </c>
      <c r="B98" s="7" t="str" cm="1">
        <f t="array" ref="B98">SDK_DeadEnd($B$3:$J$11)</f>
        <v/>
      </c>
      <c r="C98" s="7"/>
      <c r="D98" s="7"/>
      <c r="E98" s="7"/>
      <c r="F98" s="7"/>
      <c r="G98" s="7"/>
      <c r="H98" s="7"/>
      <c r="I98" s="7"/>
      <c r="J98" s="7"/>
      <c r="K98" s="7"/>
      <c r="L98" s="7"/>
      <c r="M98" s="7"/>
      <c r="N98" s="7"/>
      <c r="O98" s="7"/>
      <c r="P98" s="7"/>
      <c r="Q98" s="7"/>
      <c r="R98" s="7"/>
      <c r="S98" s="7"/>
      <c r="T98" s="7"/>
    </row>
    <row r="99" spans="1:20">
      <c r="A99" t="s">
        <v>282</v>
      </c>
      <c r="B99" t="b" cm="1">
        <f t="array" ref="B99">SDK_HasDeadEnd($B$3:$J$11)</f>
        <v>0</v>
      </c>
    </row>
    <row r="100" spans="1:20" ht="68">
      <c r="A100" s="7" t="s">
        <v>355</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8" t="s">
        <v>121</v>
      </c>
      <c r="B1" s="128"/>
      <c r="C1" s="128"/>
      <c r="D1" s="128"/>
      <c r="E1" s="128"/>
      <c r="F1" s="128"/>
      <c r="G1" s="128"/>
      <c r="H1" s="128"/>
      <c r="I1" s="128"/>
      <c r="J1" s="128"/>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2568</v>
      </c>
      <c r="D15" s="3" t="str" cm="1">
        <f t="array" ref="D15">SDK_Candidates($B$3:$J$11,1,3)</f>
        <v>2468</v>
      </c>
      <c r="E15" s="3" t="str" cm="1">
        <f t="array" ref="E15">SDK_Candidates($B$3:$J$11,1,4)</f>
        <v>458</v>
      </c>
      <c r="F15" s="3" t="str" cm="1">
        <f t="array" ref="F15">SDK_Candidates($B$3:$J$11,1,5)</f>
        <v>345</v>
      </c>
      <c r="G15" s="3" t="str" cm="1">
        <f t="array" ref="G15">SDK_Candidates($B$3:$J$11,1,6)</f>
        <v/>
      </c>
      <c r="H15" s="3" t="str" cm="1">
        <f t="array" ref="H15">SDK_Candidates($B$3:$J$11,1,7)</f>
        <v>246</v>
      </c>
      <c r="I15" s="3" t="str" cm="1">
        <f t="array" ref="I15">SDK_Candidates($B$3:$J$11,1,8)</f>
        <v/>
      </c>
      <c r="J15" s="3" t="str" cm="1">
        <f t="array" ref="J15">SDK_Candidates($B$3:$J$11,1,9)</f>
        <v>346</v>
      </c>
    </row>
    <row r="16" spans="1:10">
      <c r="A16" s="3"/>
      <c r="B16" s="3" t="str" cm="1">
        <f t="array" ref="B16">SDK_Candidates($B$3:$J$11,2,1)</f>
        <v>457</v>
      </c>
      <c r="C16" s="3" t="str" cm="1">
        <f t="array" ref="C16">SDK_Candidates($B$3:$J$11,2,2)</f>
        <v/>
      </c>
      <c r="D16" s="3" t="str" cm="1">
        <f t="array" ref="D16">SDK_Candidates($B$3:$J$11,2,3)</f>
        <v>46</v>
      </c>
      <c r="E16" s="3" t="str" cm="1">
        <f t="array" ref="E16">SDK_Candidates($B$3:$J$11,2,4)</f>
        <v>1459</v>
      </c>
      <c r="F16" s="3" t="str" cm="1">
        <f t="array" ref="F16">SDK_Candidates($B$3:$J$11,2,5)</f>
        <v/>
      </c>
      <c r="G16" s="3" t="str" cm="1">
        <f t="array" ref="G16">SDK_Candidates($B$3:$J$11,2,6)</f>
        <v>159</v>
      </c>
      <c r="H16" s="3" t="str" cm="1">
        <f t="array" ref="H16">SDK_Candidates($B$3:$J$11,2,7)</f>
        <v>1467</v>
      </c>
      <c r="I16" s="3" t="str" cm="1">
        <f t="array" ref="I16">SDK_Candidates($B$3:$J$11,2,8)</f>
        <v>467</v>
      </c>
      <c r="J16" s="3" t="str" cm="1">
        <f t="array" ref="J16">SDK_Candidates($B$3:$J$11,2,9)</f>
        <v/>
      </c>
    </row>
    <row r="17" spans="1:10">
      <c r="A17" s="3"/>
      <c r="B17" s="3" t="str" cm="1">
        <f t="array" ref="B17">SDK_Candidates($B$3:$J$11,3,1)</f>
        <v>2478</v>
      </c>
      <c r="C17" s="3" t="str" cm="1">
        <f t="array" ref="C17">SDK_Candidates($B$3:$J$11,3,2)</f>
        <v>278</v>
      </c>
      <c r="D17" s="3" t="str" cm="1">
        <f t="array" ref="D17">SDK_Candidates($B$3:$J$11,3,3)</f>
        <v/>
      </c>
      <c r="E17" s="3" t="str" cm="1">
        <f t="array" ref="E17">SDK_Candidates($B$3:$J$11,3,4)</f>
        <v/>
      </c>
      <c r="F17" s="3" t="str" cm="1">
        <f t="array" ref="F17">SDK_Candidates($B$3:$J$11,3,5)</f>
        <v>134</v>
      </c>
      <c r="G17" s="3" t="str" cm="1">
        <f t="array" ref="G17">SDK_Candidates($B$3:$J$11,3,6)</f>
        <v>138</v>
      </c>
      <c r="H17" s="3" t="str" cm="1">
        <f t="array" ref="H17">SDK_Candidates($B$3:$J$11,3,7)</f>
        <v/>
      </c>
      <c r="I17" s="3" t="str" cm="1">
        <f t="array" ref="I17">SDK_Candidates($B$3:$J$11,3,8)</f>
        <v>2347</v>
      </c>
      <c r="J17" s="3" t="str" cm="1">
        <f t="array" ref="J17">SDK_Candidates($B$3:$J$11,3,9)</f>
        <v>134</v>
      </c>
    </row>
    <row r="18" spans="1:10">
      <c r="A18" s="3"/>
      <c r="B18" s="3" t="str" cm="1">
        <f t="array" ref="B18">SDK_Candidates($B$3:$J$11,4,1)</f>
        <v>2478</v>
      </c>
      <c r="C18" s="3" t="str" cm="1">
        <f t="array" ref="C18">SDK_Candidates($B$3:$J$11,4,2)</f>
        <v>278</v>
      </c>
      <c r="D18" s="3" t="str" cm="1">
        <f t="array" ref="D18">SDK_Candidates($B$3:$J$11,4,3)</f>
        <v/>
      </c>
      <c r="E18" s="3" t="str" cm="1">
        <f t="array" ref="E18">SDK_Candidates($B$3:$J$11,4,4)</f>
        <v/>
      </c>
      <c r="F18" s="3" t="str" cm="1">
        <f t="array" ref="F18">SDK_Candidates($B$3:$J$11,4,5)</f>
        <v>167</v>
      </c>
      <c r="G18" s="3" t="str" cm="1">
        <f t="array" ref="G18">SDK_Candidates($B$3:$J$11,4,6)</f>
        <v>126</v>
      </c>
      <c r="H18" s="3" t="str" cm="1">
        <f t="array" ref="H18">SDK_Candidates($B$3:$J$11,4,7)</f>
        <v/>
      </c>
      <c r="I18" s="3" t="str" cm="1">
        <f t="array" ref="I18">SDK_Candidates($B$3:$J$11,4,8)</f>
        <v>4678</v>
      </c>
      <c r="J18" s="3" t="str" cm="1">
        <f t="array" ref="J18">SDK_Candidates($B$3:$J$11,4,9)</f>
        <v>146</v>
      </c>
    </row>
    <row r="19" spans="1:10">
      <c r="A19" s="3"/>
      <c r="B19" s="3" t="str" cm="1">
        <f t="array" ref="B19">SDK_Candidates($B$3:$J$11,5,1)</f>
        <v>479</v>
      </c>
      <c r="C19" s="3" t="str" cm="1">
        <f t="array" ref="C19">SDK_Candidates($B$3:$J$11,5,2)</f>
        <v/>
      </c>
      <c r="D19" s="3" t="str" cm="1">
        <f t="array" ref="D19">SDK_Candidates($B$3:$J$11,5,3)</f>
        <v>34</v>
      </c>
      <c r="E19" s="3" t="str" cm="1">
        <f t="array" ref="E19">SDK_Candidates($B$3:$J$11,5,4)</f>
        <v>579</v>
      </c>
      <c r="F19" s="3" t="str" cm="1">
        <f t="array" ref="F19">SDK_Candidates($B$3:$J$11,5,5)</f>
        <v/>
      </c>
      <c r="G19" s="3" t="str" cm="1">
        <f t="array" ref="G19">SDK_Candidates($B$3:$J$11,5,6)</f>
        <v>569</v>
      </c>
      <c r="H19" s="3" t="str" cm="1">
        <f t="array" ref="H19">SDK_Candidates($B$3:$J$11,5,7)</f>
        <v>467</v>
      </c>
      <c r="I19" s="3" t="str" cm="1">
        <f t="array" ref="I19">SDK_Candidates($B$3:$J$11,5,8)</f>
        <v>34567</v>
      </c>
      <c r="J19" s="3" t="str" cm="1">
        <f t="array" ref="J19">SDK_Candidates($B$3:$J$11,5,9)</f>
        <v/>
      </c>
    </row>
    <row r="20" spans="1:10">
      <c r="A20" s="3"/>
      <c r="B20" s="3" t="str" cm="1">
        <f t="array" ref="B20">SDK_Candidates($B$3:$J$11,6,1)</f>
        <v/>
      </c>
      <c r="C20" s="3" t="str" cm="1">
        <f t="array" ref="C20">SDK_Candidates($B$3:$J$11,6,2)</f>
        <v>2789</v>
      </c>
      <c r="D20" s="3" t="str" cm="1">
        <f t="array" ref="D20">SDK_Candidates($B$3:$J$11,6,3)</f>
        <v>238</v>
      </c>
      <c r="E20" s="3" t="str" cm="1">
        <f t="array" ref="E20">SDK_Candidates($B$3:$J$11,6,4)</f>
        <v>12579</v>
      </c>
      <c r="F20" s="3" t="str" cm="1">
        <f t="array" ref="F20">SDK_Candidates($B$3:$J$11,6,5)</f>
        <v>1579</v>
      </c>
      <c r="G20" s="3" t="str" cm="1">
        <f t="array" ref="G20">SDK_Candidates($B$3:$J$11,6,6)</f>
        <v/>
      </c>
      <c r="H20" s="3" t="str" cm="1">
        <f t="array" ref="H20">SDK_Candidates($B$3:$J$11,6,7)</f>
        <v>178</v>
      </c>
      <c r="I20" s="3" t="str" cm="1">
        <f t="array" ref="I20">SDK_Candidates($B$3:$J$11,6,8)</f>
        <v>3578</v>
      </c>
      <c r="J20" s="3" t="str" cm="1">
        <f t="array" ref="J20">SDK_Candidates($B$3:$J$11,6,9)</f>
        <v>135</v>
      </c>
    </row>
    <row r="21" spans="1:10">
      <c r="A21" s="3"/>
      <c r="B21" s="3" t="str" cm="1">
        <f t="array" ref="B21">SDK_Candidates($B$3:$J$11,7,1)</f>
        <v/>
      </c>
      <c r="C21" s="3" t="str" cm="1">
        <f t="array" ref="C21">SDK_Candidates($B$3:$J$11,7,2)</f>
        <v>25689</v>
      </c>
      <c r="D21" s="3" t="str" cm="1">
        <f t="array" ref="D21">SDK_Candidates($B$3:$J$11,7,3)</f>
        <v>268</v>
      </c>
      <c r="E21" s="3" t="str" cm="1">
        <f t="array" ref="E21">SDK_Candidates($B$3:$J$11,7,4)</f>
        <v>245789</v>
      </c>
      <c r="F21" s="3" t="str" cm="1">
        <f t="array" ref="F21">SDK_Candidates($B$3:$J$11,7,5)</f>
        <v>45679</v>
      </c>
      <c r="G21" s="3" t="str" cm="1">
        <f t="array" ref="G21">SDK_Candidates($B$3:$J$11,7,6)</f>
        <v>25689</v>
      </c>
      <c r="H21" s="3" t="str" cm="1">
        <f t="array" ref="H21">SDK_Candidates($B$3:$J$11,7,7)</f>
        <v>2468</v>
      </c>
      <c r="I21" s="3" t="str" cm="1">
        <f t="array" ref="I21">SDK_Candidates($B$3:$J$11,7,8)</f>
        <v/>
      </c>
      <c r="J21" s="3" t="str" cm="1">
        <f t="array" ref="J21">SDK_Candidates($B$3:$J$11,7,9)</f>
        <v>4569</v>
      </c>
    </row>
    <row r="22" spans="1:10">
      <c r="A22" s="3"/>
      <c r="B22" s="3" t="str" cm="1">
        <f t="array" ref="B22">SDK_Candidates($B$3:$J$11,8,1)</f>
        <v>2589</v>
      </c>
      <c r="C22" s="3" t="str" cm="1">
        <f t="array" ref="C22">SDK_Candidates($B$3:$J$11,8,2)</f>
        <v/>
      </c>
      <c r="D22" s="3" t="str" cm="1">
        <f t="array" ref="D22">SDK_Candidates($B$3:$J$11,8,3)</f>
        <v>1268</v>
      </c>
      <c r="E22" s="3" t="str" cm="1">
        <f t="array" ref="E22">SDK_Candidates($B$3:$J$11,8,4)</f>
        <v>12589</v>
      </c>
      <c r="F22" s="3" t="str" cm="1">
        <f t="array" ref="F22">SDK_Candidates($B$3:$J$11,8,5)</f>
        <v>13569</v>
      </c>
      <c r="G22" s="3" t="str" cm="1">
        <f t="array" ref="G22">SDK_Candidates($B$3:$J$11,8,6)</f>
        <v>1235689</v>
      </c>
      <c r="H22" s="3" t="str" cm="1">
        <f t="array" ref="H22">SDK_Candidates($B$3:$J$11,8,7)</f>
        <v>268</v>
      </c>
      <c r="I22" s="3" t="str" cm="1">
        <f t="array" ref="I22">SDK_Candidates($B$3:$J$11,8,8)</f>
        <v>2568</v>
      </c>
      <c r="J22" s="3" t="str" cm="1">
        <f t="array" ref="J22">SDK_Candidates($B$3:$J$11,8,9)</f>
        <v/>
      </c>
    </row>
    <row r="23" spans="1:10">
      <c r="A23" s="3"/>
      <c r="B23" s="3" t="str" cm="1">
        <f t="array" ref="B23">SDK_Candidates($B$3:$J$11,9,1)</f>
        <v>2589</v>
      </c>
      <c r="C23" s="3" t="str" cm="1">
        <f t="array" ref="C23">SDK_Candidates($B$3:$J$11,9,2)</f>
        <v>25689</v>
      </c>
      <c r="D23" s="3" t="str" cm="1">
        <f t="array" ref="D23">SDK_Candidates($B$3:$J$11,9,3)</f>
        <v/>
      </c>
      <c r="E23" s="3" t="str" cm="1">
        <f t="array" ref="E23">SDK_Candidates($B$3:$J$11,9,4)</f>
        <v>124589</v>
      </c>
      <c r="F23" s="3" t="str" cm="1">
        <f t="array" ref="F23">SDK_Candidates($B$3:$J$11,9,5)</f>
        <v>14569</v>
      </c>
      <c r="G23" s="3" t="str" cm="1">
        <f t="array" ref="G23">SDK_Candidates($B$3:$J$11,9,6)</f>
        <v>125689</v>
      </c>
      <c r="H23" s="3" t="str" cm="1">
        <f t="array" ref="H23">SDK_Candidates($B$3:$J$11,9,7)</f>
        <v/>
      </c>
      <c r="I23" s="3" t="str" cm="1">
        <f t="array" ref="I23">SDK_Candidates($B$3:$J$11,9,8)</f>
        <v>24568</v>
      </c>
      <c r="J23" s="3" t="str" cm="1">
        <f t="array" ref="J23">SDK_Candidates($B$3:$J$11,9,9)</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7" t="str" cm="1">
        <f t="array" ref="B62">SDK_NextHint($B$3:$J$11)</f>
        <v>Hidden single in column · R8C3 = 1 · Digit 1 appears in only one candidate set in column 3.</v>
      </c>
      <c r="C62" s="127"/>
      <c r="D62" s="127"/>
      <c r="E62" s="127"/>
      <c r="F62" s="127"/>
      <c r="G62" s="127"/>
      <c r="H62" s="127"/>
      <c r="I62" s="127"/>
      <c r="J62" s="127"/>
    </row>
    <row r="63" spans="1:10" ht="17">
      <c r="A63" s="2" t="s">
        <v>36</v>
      </c>
      <c r="B63" s="127" t="str" cm="1">
        <f t="array" ref="B63">SDK_HintNaked($B$3:$J$11)</f>
        <v/>
      </c>
      <c r="C63" s="127"/>
      <c r="D63" s="127"/>
      <c r="E63" s="127"/>
      <c r="F63" s="127"/>
      <c r="G63" s="127"/>
      <c r="H63" s="127"/>
      <c r="I63" s="127"/>
      <c r="J63" s="127"/>
    </row>
    <row r="64" spans="1:10" ht="34">
      <c r="A64" s="2" t="s">
        <v>37</v>
      </c>
      <c r="B64" s="127" t="str" cm="1">
        <f t="array" ref="B64">SDK_HintHiddenRow($B$3:$J$11)</f>
        <v/>
      </c>
      <c r="C64" s="127"/>
      <c r="D64" s="127"/>
      <c r="E64" s="127"/>
      <c r="F64" s="127"/>
      <c r="G64" s="127"/>
      <c r="H64" s="127"/>
      <c r="I64" s="127"/>
      <c r="J64" s="127"/>
    </row>
    <row r="65" spans="1:10" ht="34">
      <c r="A65" s="2" t="s">
        <v>38</v>
      </c>
      <c r="B65" s="127" t="str" cm="1">
        <f t="array" ref="B65">SDK_HintHiddenCol($B$3:$J$11)</f>
        <v>Hidden single in column · R8C3 = 1 · Digit 1 appears in only one candidate set in column 3.</v>
      </c>
      <c r="C65" s="127"/>
      <c r="D65" s="127"/>
      <c r="E65" s="127"/>
      <c r="F65" s="127"/>
      <c r="G65" s="127"/>
      <c r="H65" s="127"/>
      <c r="I65" s="127"/>
      <c r="J65" s="127"/>
    </row>
    <row r="66" spans="1:10" ht="17">
      <c r="A66" s="2" t="s">
        <v>39</v>
      </c>
      <c r="B66" s="127" t="str" cm="1">
        <f t="array" ref="B66">SDK_HintHiddenBox($B$3:$J$11)</f>
        <v>Hidden single in box · R8C3 = 1 · Digit 1 appears in only one candidate set in box 7.</v>
      </c>
      <c r="C66" s="127"/>
      <c r="D66" s="127"/>
      <c r="E66" s="127"/>
      <c r="F66" s="127"/>
      <c r="G66" s="127"/>
      <c r="H66" s="127"/>
      <c r="I66" s="127"/>
      <c r="J66" s="127"/>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SDK_PlayerHint($B$3:$J$11,$B$39:$J$47)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cm="1">
        <f t="array" ref="B89">INDEX(SDK_PlayerTrace($B$3:$J$11,$B$39:$J$47),1)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289">
      <c r="A95" s="7" t="s">
        <v>80</v>
      </c>
      <c r="B95" s="7" t="str" cm="1">
        <f t="array" ref="B95">SDK_HintClaiming($B$27:$J$35)</f>
        <v>Claiming row · Row 9 confines digit 1 to box 8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281</v>
      </c>
      <c r="B98" s="7" t="str" cm="1">
        <f t="array" ref="B98">SDK_DeadEnd($B$3:$J$11)</f>
        <v/>
      </c>
      <c r="C98" s="7"/>
      <c r="D98" s="7"/>
      <c r="E98" s="7"/>
      <c r="F98" s="7"/>
      <c r="G98" s="7"/>
      <c r="H98" s="7"/>
      <c r="I98" s="7"/>
      <c r="J98" s="7"/>
      <c r="K98" s="7"/>
      <c r="L98" s="7"/>
      <c r="M98" s="7"/>
      <c r="N98" s="7"/>
      <c r="O98" s="7"/>
      <c r="P98" s="7"/>
      <c r="Q98" s="7"/>
      <c r="R98" s="7"/>
      <c r="S98" s="7"/>
      <c r="T98" s="7"/>
    </row>
    <row r="99" spans="1:20">
      <c r="A99" t="s">
        <v>282</v>
      </c>
      <c r="B99" t="b" cm="1">
        <f t="array" ref="B99">SDK_HasDeadEnd($B$3:$J$11)</f>
        <v>0</v>
      </c>
    </row>
    <row r="100" spans="1:20" ht="68">
      <c r="A100" s="7" t="s">
        <v>355</v>
      </c>
      <c r="B100" t="str" cm="1">
        <f t="array" ref="B100">IF('05 Master'!$AS$11="Verify",IF(COUNTIF($B$51:$J$59,TRUE)&gt;0,"CONFLICT",SDK_SolveStatus($B$3:$J$11)),"")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2026-07-27T16:16:36Z</dcterms:modified>
</cp:coreProperties>
</file>